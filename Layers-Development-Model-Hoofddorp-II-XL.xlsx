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velopment Model" sheetId="1" state="visible" r:id="rId3"/>
  </sheets>
  <definedNames>
    <definedName function="false" hidden="false" localSheetId="0" name="_xlnm.Print_Area" vbProcedure="false">'Development Model'!$A$1:$H$102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Samengevoegde ontwikkelkavel Layers Hoofddorp II XL (De Hoek, Kruisweg/Rijnlanderweg). 5 percelen (AK 2907/2923/2924/2925/2926) = samen 7.150 m² (0,715 ha), ALLE op exact hetzelfde tijdstip geregistreerd (4-11-2024 10:38:10, grensvaststelling opgeschort) → één herverkavelingsactie. Geverifieerd via Kadastrale Kaart PDOK. Vrijgemaakt terrein, geen BAG-pand. Formele eigendoms-assemblage = Kadaster BRK (Fase 3). Dit is de volledige acquisitie; de XL-fase (6 units) beslaat hiervan een deel → de Engine toont de headroom.</t>
        </r>
      </text>
    </comment>
    <comment ref="C10" authorId="0">
      <text>
        <r>
          <rPr>
            <sz val="10"/>
            <rFont val="Arial"/>
            <family val="2"/>
          </rPr>
          <t xml:space="preserve">Vrije hoogte gerealiseerd = 3,4 m; 5,0 m/laag incl. constructie voor de capaciteitsberekening.</t>
        </r>
      </text>
    </comment>
    <comment ref="C12" authorId="0">
      <text>
        <r>
          <rPr>
            <sz val="10"/>
            <rFont val="Arial"/>
            <family val="2"/>
          </rPr>
          <t xml:space="preserve">Gerealiseerd 63 pp op 4.566 m² BVO ≈ 1,38 per 100 m² BVO (uit de prijslijst: 5×10 + 1×13).</t>
        </r>
      </text>
    </comment>
    <comment ref="C14" authorId="0">
      <text>
        <r>
          <rPr>
            <sz val="10"/>
            <rFont val="Arial"/>
            <family val="2"/>
          </rPr>
          <t xml:space="preserve">Indicatieve grondwaarde (Today's echte inkoop niet publiek); speel hiermee. De echte max = residual (blok 8).</t>
        </r>
      </text>
    </comment>
    <comment ref="C17" authorId="0">
      <text>
        <r>
          <rPr>
            <sz val="10"/>
            <rFont val="Arial"/>
            <family val="2"/>
          </rPr>
          <t xml:space="preserve">XL-units worden verkocht op BVO (de koopsom in de prijslijst geldt de BVO). Daarom VVO = BVO voor dit product → efficiency 100%.</t>
        </r>
      </text>
    </comment>
    <comment ref="C18" authorId="0">
      <text>
        <r>
          <rPr>
            <sz val="10"/>
            <rFont val="Arial"/>
            <family val="2"/>
          </rPr>
          <t xml:space="preserve">As-built = 2-laags (begane grond + 1e verdieping, prijslijst). Speel met dit getal om alternatieven te verkennen.</t>
        </r>
      </text>
    </comment>
    <comment ref="C19" authorId="0">
      <text>
        <r>
          <rPr>
            <sz val="10"/>
            <rFont val="Arial"/>
            <family val="2"/>
          </rPr>
          <t xml:space="preserve">Casco+ 2-laags bedrijfsunits, INDICATIEF — dit is de gevoeligste aanname (bepaalt de marge). Verfijnen met Today's echte bouwbegroting.</t>
        </r>
      </text>
    </comment>
    <comment ref="C24" authorId="0">
      <text>
        <r>
          <rPr>
            <sz val="10"/>
            <rFont val="Arial"/>
            <family val="2"/>
          </rPr>
          <t xml:space="preserve">IC wil minimaal dit rendement op GDV.</t>
        </r>
      </text>
    </comment>
    <comment ref="C30" authorId="0">
      <text>
        <r>
          <rPr>
            <sz val="10"/>
            <rFont val="Arial"/>
            <family val="2"/>
          </rPr>
          <t xml:space="preserve">Het ruimtelijke plafond. Meer VVO past fysiek niet — tenzij je meer lagen kiest (blok 2).</t>
        </r>
      </text>
    </comment>
    <comment ref="C43" authorId="0">
      <text>
        <r>
          <rPr>
            <sz val="10"/>
            <rFont val="Arial"/>
            <family val="2"/>
          </rPr>
          <t xml:space="preserve">Onder deze VVO haal je de target-marge niet.</t>
        </r>
      </text>
    </comment>
  </commentList>
</comments>
</file>

<file path=xl/sharedStrings.xml><?xml version="1.0" encoding="utf-8"?>
<sst xmlns="http://schemas.openxmlformats.org/spreadsheetml/2006/main" count="131" uniqueCount="113">
  <si>
    <t xml:space="preserve">Layers Development Model — Hoofddorp II XL</t>
  </si>
  <si>
    <t xml:space="preserve">Echte case: Layers Hoofddorp II XL · Kruisweg (naast 703), 2132 ND Hoofddorp · 6 XL-units, 2-laags · prijzen uit de officiële prijslijst (V.O.N.) · targets onderaan → Development Engine</t>
  </si>
  <si>
    <t xml:space="preserve">Legenda:   ▮ blauw = invoer (speel hiermee)     ▮ zwart = berekend     ▮ geel = kernaanname     ▮ groen = uit Acquisitie-Radar</t>
  </si>
  <si>
    <t xml:space="preserve">1 · Locatie  (harde parameters — uit Acquisitie-Radar)</t>
  </si>
  <si>
    <t xml:space="preserve">Perceeloppervlakte (samengevoegde kavel)</t>
  </si>
  <si>
    <t xml:space="preserve">m² · geverifieerd</t>
  </si>
  <si>
    <t xml:space="preserve">Bestemming</t>
  </si>
  <si>
    <t xml:space="preserve">Bedrijventerrein</t>
  </si>
  <si>
    <t xml:space="preserve">Max. bebouwingspercentage</t>
  </si>
  <si>
    <t xml:space="preserve">van perceel</t>
  </si>
  <si>
    <t xml:space="preserve">Max. bouwhoogte</t>
  </si>
  <si>
    <t xml:space="preserve">m</t>
  </si>
  <si>
    <t xml:space="preserve">Verdiepingshoogte (aanname)</t>
  </si>
  <si>
    <t xml:space="preserve">m/laag</t>
  </si>
  <si>
    <t xml:space="preserve">→ Max. bouwlagen (fysiek)</t>
  </si>
  <si>
    <t xml:space="preserve">lagen</t>
  </si>
  <si>
    <t xml:space="preserve">Parkeernorm</t>
  </si>
  <si>
    <t xml:space="preserve">pp/100 m² BVO</t>
  </si>
  <si>
    <t xml:space="preserve">Milieucategorie</t>
  </si>
  <si>
    <t xml:space="preserve">t/m 3.1</t>
  </si>
  <si>
    <t xml:space="preserve">Richtprijs grond (indicatief)</t>
  </si>
  <si>
    <t xml:space="preserve">indicatief</t>
  </si>
  <si>
    <t xml:space="preserve">2 · Markt &amp; product  (aannames development director)</t>
  </si>
  <si>
    <t xml:space="preserve">VVO / BVO efficiency</t>
  </si>
  <si>
    <t xml:space="preserve">kernaanname</t>
  </si>
  <si>
    <t xml:space="preserve">Gekozen bouwlagen</t>
  </si>
  <si>
    <t xml:space="preserve">≤ max lagen</t>
  </si>
  <si>
    <t xml:space="preserve">Bouwkosten</t>
  </si>
  <si>
    <t xml:space="preserve">€/m² BVO · casco+</t>
  </si>
  <si>
    <t xml:space="preserve">Adviseurs / plankosten</t>
  </si>
  <si>
    <t xml:space="preserve">% v. bouw</t>
  </si>
  <si>
    <t xml:space="preserve">Marketing &amp; verkoop</t>
  </si>
  <si>
    <t xml:space="preserve">% v. GDV</t>
  </si>
  <si>
    <t xml:space="preserve">Financiering</t>
  </si>
  <si>
    <t xml:space="preserve">% v. (bouw+adv)</t>
  </si>
  <si>
    <t xml:space="preserve">Onvoorzien</t>
  </si>
  <si>
    <t xml:space="preserve">Target ontwikkelmarge (IC-drempel)</t>
  </si>
  <si>
    <t xml:space="preserve">op GDV</t>
  </si>
  <si>
    <t xml:space="preserve">Absorptie / voorverkoop</t>
  </si>
  <si>
    <t xml:space="preserve">5–8 units/mnd · ≥50% voorverkoop</t>
  </si>
  <si>
    <t xml:space="preserve">3 · Ruimtelijke capaciteit  (de envelop — dit begrenst het programma)</t>
  </si>
  <si>
    <t xml:space="preserve">Max. footprint (perceel × beb%)</t>
  </si>
  <si>
    <t xml:space="preserve">m²</t>
  </si>
  <si>
    <t xml:space="preserve">Max. BVO (× gekozen lagen)</t>
  </si>
  <si>
    <t xml:space="preserve">Plafond: max. verkoopbaar VVO (× eff.)</t>
  </si>
  <si>
    <t xml:space="preserve">4 · Layers-product — unitmix  (as-built Hoofddorp II — speel met de aantallen)</t>
  </si>
  <si>
    <t xml:space="preserve">Unittype</t>
  </si>
  <si>
    <t xml:space="preserve">Aantal</t>
  </si>
  <si>
    <t xml:space="preserve">m²/unit (BVO)</t>
  </si>
  <si>
    <t xml:space="preserve">BVO totaal</t>
  </si>
  <si>
    <t xml:space="preserve">€/m² (V.O.N.)</t>
  </si>
  <si>
    <t xml:space="preserve">Koopsom (GDV)</t>
  </si>
  <si>
    <t xml:space="preserve">Layers XL · (A+) · 956 m²</t>
  </si>
  <si>
    <t xml:space="preserve">Layers L · (A) · 722 m²</t>
  </si>
  <si>
    <t xml:space="preserve">Layers M · (B) · 110 m²</t>
  </si>
  <si>
    <t xml:space="preserve">Layers S · (C) · 66 m²</t>
  </si>
  <si>
    <t xml:space="preserve">Totaal / gemiddeld</t>
  </si>
  <si>
    <t xml:space="preserve">Check — past deze mix binnen de grenzen?</t>
  </si>
  <si>
    <t xml:space="preserve">Plafond: ruimtelijk mogelijk VVO</t>
  </si>
  <si>
    <t xml:space="preserve">m² (perceel×beb%×lagen×eff)</t>
  </si>
  <si>
    <t xml:space="preserve">Benutting (gebruikt / plafond)</t>
  </si>
  <si>
    <t xml:space="preserve">↑ &gt;100% = past ruimtelijk niet</t>
  </si>
  <si>
    <t xml:space="preserve">Restcapaciteit</t>
  </si>
  <si>
    <t xml:space="preserve">Economische ondergrens VVO (grond + target)</t>
  </si>
  <si>
    <t xml:space="preserve">m² nodig</t>
  </si>
  <si>
    <t xml:space="preserve">→ Verdict</t>
  </si>
  <si>
    <t xml:space="preserve">5 · Programma &amp; ruimtelijke test-fit</t>
  </si>
  <si>
    <t xml:space="preserve">Target VVO</t>
  </si>
  <si>
    <t xml:space="preserve">Target BVO (= VVO / efficiency)</t>
  </si>
  <si>
    <t xml:space="preserve">Benodigde footprint (bij gekozen lagen)</t>
  </si>
  <si>
    <t xml:space="preserve">Bebouwing gerealiseerd</t>
  </si>
  <si>
    <t xml:space="preserve">Bouwhoogte</t>
  </si>
  <si>
    <t xml:space="preserve">→ Past het programma?</t>
  </si>
  <si>
    <t xml:space="preserve">Parkeerbehoefte</t>
  </si>
  <si>
    <t xml:space="preserve">pp</t>
  </si>
  <si>
    <t xml:space="preserve">6 · Ontwikkelkosten</t>
  </si>
  <si>
    <t xml:space="preserve">Grondkosten</t>
  </si>
  <si>
    <t xml:space="preserve">Bouwkosten (BVO × €/m²)</t>
  </si>
  <si>
    <t xml:space="preserve">Totale ontwikkelkosten</t>
  </si>
  <si>
    <t xml:space="preserve">7 · Returns</t>
  </si>
  <si>
    <t xml:space="preserve">GDV (Gross Development Value)</t>
  </si>
  <si>
    <t xml:space="preserve">Totale kosten</t>
  </si>
  <si>
    <t xml:space="preserve">Ontwikkelresultaat</t>
  </si>
  <si>
    <t xml:space="preserve">Ontwikkelmarge op GDV</t>
  </si>
  <si>
    <t xml:space="preserve">Ontwikkelmarge op kosten</t>
  </si>
  <si>
    <t xml:space="preserve">Winst per m² VVO</t>
  </si>
  <si>
    <t xml:space="preserve">€/m² VVO</t>
  </si>
  <si>
    <t xml:space="preserve">→ Oordeel t.o.v. IC-drempel</t>
  </si>
  <si>
    <t xml:space="preserve">8 · Residual land value  (wat mag de grond kosten?)</t>
  </si>
  <si>
    <t xml:space="preserve">Kosten exclusief grond</t>
  </si>
  <si>
    <t xml:space="preserve">Max. grondwaarde bij target-marge</t>
  </si>
  <si>
    <t xml:space="preserve">Richtprijs grond (radar)</t>
  </si>
  <si>
    <t xml:space="preserve">→ Ruimte t.o.v. richtprijs</t>
  </si>
  <si>
    <t xml:space="preserve">positief = grond mag méér kosten</t>
  </si>
  <si>
    <t xml:space="preserve">9 · Sensitivity — marge op GDV  (grondprijs × verkoopprijs-index)</t>
  </si>
  <si>
    <t xml:space="preserve">Grond ↓ / prijs →</t>
  </si>
  <si>
    <t xml:space="preserve">Groen ≥ target-marge (15% op GDV); rood = onder target → optimaliseren of niet kopen.</t>
  </si>
  <si>
    <t xml:space="preserve">→  Targets naar de Development Engine  (de LAT die het ontwerp moet halen)</t>
  </si>
  <si>
    <t xml:space="preserve">Target-band VVO — MINIMAAL (om de case te halen)</t>
  </si>
  <si>
    <t xml:space="preserve">m² · economische ondergrens</t>
  </si>
  <si>
    <t xml:space="preserve">Target-band VVO — MAXIMAAL (wat ruimtelijk past)</t>
  </si>
  <si>
    <t xml:space="preserve">m² · plafond</t>
  </si>
  <si>
    <t xml:space="preserve">Target marge (op GDV)</t>
  </si>
  <si>
    <t xml:space="preserve">de harde eis</t>
  </si>
  <si>
    <t xml:space="preserve">Max. grondprijs (residual)</t>
  </si>
  <si>
    <t xml:space="preserve">betaalbaarheids-eis</t>
  </si>
  <si>
    <t xml:space="preserve">— illustratieve invulling binnen de band (één mogelijke mix) —</t>
  </si>
  <si>
    <t xml:space="preserve">Target BVO</t>
  </si>
  <si>
    <t xml:space="preserve">Aantal units</t>
  </si>
  <si>
    <t xml:space="preserve">Gem. verkoopwaarde</t>
  </si>
  <si>
    <t xml:space="preserve">Target GDV</t>
  </si>
  <si>
    <t xml:space="preserve">Max. bouwkosten</t>
  </si>
  <si>
    <t xml:space="preserve">De Engine bewijst of een ontwerp de lat haalt: ≥ minimum · ≤ plafond · marge &amp; residual gehaald. Director finetunet aankoopprijs/mix/lagen live.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</si>
</sst>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&quot; m²&quot;"/>
    <numFmt numFmtId="166" formatCode="0.0%"/>
    <numFmt numFmtId="167" formatCode="#,##0&quot; m&quot;"/>
    <numFmt numFmtId="168" formatCode="#,##0.0&quot; m&quot;"/>
    <numFmt numFmtId="169" formatCode="#,##0"/>
    <numFmt numFmtId="170" formatCode="#,##0.00&quot; / 100 m²&quot;"/>
    <numFmt numFmtId="171" formatCode="\€#,##0"/>
    <numFmt numFmtId="172" formatCode="#,##0&quot; pp&quot;"/>
    <numFmt numFmtId="173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2A33"/>
      <name val="Arial"/>
      <family val="0"/>
      <charset val="1"/>
    </font>
    <font>
      <sz val="10"/>
      <color rgb="FF6B7680"/>
      <name val="Arial"/>
      <family val="0"/>
      <charset val="1"/>
    </font>
    <font>
      <sz val="9"/>
      <color rgb="FF6B76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F2A33"/>
      <name val="Arial"/>
      <family val="0"/>
      <charset val="1"/>
    </font>
    <font>
      <sz val="10"/>
      <color rgb="FF1E6E3C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2A3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5A6570"/>
      <name val="Arial"/>
      <family val="0"/>
      <charset val="1"/>
    </font>
    <font>
      <b val="true"/>
      <sz val="10"/>
      <color rgb="FF3A2A66"/>
      <name val="Arial"/>
      <family val="0"/>
      <charset val="1"/>
    </font>
    <font>
      <i val="true"/>
      <sz val="9"/>
      <color rgb="FF8A72C0"/>
      <name val="Arial"/>
      <family val="0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2A33"/>
        <bgColor rgb="FF333300"/>
      </patternFill>
    </fill>
    <fill>
      <patternFill patternType="solid">
        <fgColor rgb="FFE4F0E7"/>
        <bgColor rgb="FFF0F1EC"/>
      </patternFill>
    </fill>
    <fill>
      <patternFill patternType="solid">
        <fgColor rgb="FFEAF0FB"/>
        <bgColor rgb="FFEFEAFB"/>
      </patternFill>
    </fill>
    <fill>
      <patternFill patternType="solid">
        <fgColor rgb="FFFFF3C4"/>
        <bgColor rgb="FFF0F1EC"/>
      </patternFill>
    </fill>
    <fill>
      <patternFill patternType="solid">
        <fgColor rgb="FFF0F1EC"/>
        <bgColor rgb="FFEAF0FB"/>
      </patternFill>
    </fill>
    <fill>
      <patternFill patternType="solid">
        <fgColor rgb="FF5A3AA8"/>
        <bgColor rgb="FF3A2A66"/>
      </patternFill>
    </fill>
    <fill>
      <patternFill patternType="solid">
        <fgColor rgb="FFEFEAFB"/>
        <bgColor rgb="FFEAF0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CD5"/>
      </left>
      <right style="thin">
        <color rgb="FFD8DCD5"/>
      </right>
      <top style="thin">
        <color rgb="FFD8DCD5"/>
      </top>
      <bottom style="thin">
        <color rgb="FFD8DC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6EBDD"/>
        </patternFill>
      </fill>
    </dxf>
    <dxf>
      <fill>
        <patternFill>
          <bgColor rgb="FFF6E0D9"/>
        </patternFill>
      </fill>
    </dxf>
    <dxf>
      <fill>
        <patternFill>
          <bgColor rgb="FFF6D5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E3C"/>
      <rgbColor rgb="FF000080"/>
      <rgbColor rgb="FF808000"/>
      <rgbColor rgb="FF800080"/>
      <rgbColor rgb="FF008080"/>
      <rgbColor rgb="FFF6E0D9"/>
      <rgbColor rgb="FF6B7680"/>
      <rgbColor rgb="FF9999FF"/>
      <rgbColor rgb="FF5A3AA8"/>
      <rgbColor rgb="FFFFF3C4"/>
      <rgbColor rgb="FFE4F0E7"/>
      <rgbColor rgb="FF660066"/>
      <rgbColor rgb="FFFF8080"/>
      <rgbColor rgb="FF0066CC"/>
      <rgbColor rgb="FFD8DC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B"/>
      <rgbColor rgb="FFD6EBDD"/>
      <rgbColor rgb="FFF0F1EC"/>
      <rgbColor rgb="FFEFEAFB"/>
      <rgbColor rgb="FFFF99CC"/>
      <rgbColor rgb="FFCC99FF"/>
      <rgbColor rgb="FFF6D5CD"/>
      <rgbColor rgb="FF3366FF"/>
      <rgbColor rgb="FF33CCCC"/>
      <rgbColor rgb="FF99CC00"/>
      <rgbColor rgb="FFFFCC00"/>
      <rgbColor rgb="FFFF9900"/>
      <rgbColor rgb="FFFF6600"/>
      <rgbColor rgb="FF5A6570"/>
      <rgbColor rgb="FF8A72C0"/>
      <rgbColor rgb="FF003366"/>
      <rgbColor rgb="FF339966"/>
      <rgbColor rgb="FF003300"/>
      <rgbColor rgb="FF333300"/>
      <rgbColor rgb="FF993300"/>
      <rgbColor rgb="FF993366"/>
      <rgbColor rgb="FF3A2A66"/>
      <rgbColor rgb="FF1F2A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10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2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24" hidden="false" customHeight="true" outlineLevel="0" collapsed="false">
      <c r="B1" s="1" t="s">
        <v>0</v>
      </c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B2" s="2" t="s">
        <v>1</v>
      </c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B3" s="3" t="s">
        <v>2</v>
      </c>
      <c r="C3" s="3"/>
      <c r="D3" s="3"/>
      <c r="E3" s="3"/>
      <c r="F3" s="3"/>
      <c r="G3" s="3"/>
      <c r="H3" s="3"/>
    </row>
    <row r="5" customFormat="false" ht="19.5" hidden="false" customHeight="true" outlineLevel="0" collapsed="false">
      <c r="B5" s="4" t="s">
        <v>3</v>
      </c>
      <c r="C5" s="5"/>
      <c r="D5" s="5"/>
      <c r="E5" s="5"/>
      <c r="F5" s="5"/>
      <c r="G5" s="5"/>
      <c r="H5" s="5"/>
    </row>
    <row r="6" customFormat="false" ht="15" hidden="false" customHeight="false" outlineLevel="0" collapsed="false">
      <c r="B6" s="6" t="s">
        <v>4</v>
      </c>
      <c r="C6" s="7" t="n">
        <v>7150</v>
      </c>
      <c r="D6" s="8" t="s">
        <v>5</v>
      </c>
    </row>
    <row r="7" customFormat="false" ht="15" hidden="false" customHeight="false" outlineLevel="0" collapsed="false">
      <c r="B7" s="6" t="s">
        <v>6</v>
      </c>
      <c r="C7" s="9" t="s">
        <v>7</v>
      </c>
    </row>
    <row r="8" customFormat="false" ht="15" hidden="false" customHeight="false" outlineLevel="0" collapsed="false">
      <c r="B8" s="6" t="s">
        <v>8</v>
      </c>
      <c r="C8" s="10" t="n">
        <v>0.6</v>
      </c>
      <c r="D8" s="8" t="s">
        <v>9</v>
      </c>
    </row>
    <row r="9" customFormat="false" ht="15" hidden="false" customHeight="false" outlineLevel="0" collapsed="false">
      <c r="B9" s="6" t="s">
        <v>10</v>
      </c>
      <c r="C9" s="11" t="n">
        <v>10</v>
      </c>
      <c r="D9" s="8" t="s">
        <v>11</v>
      </c>
    </row>
    <row r="10" customFormat="false" ht="15" hidden="false" customHeight="false" outlineLevel="0" collapsed="false">
      <c r="B10" s="6" t="s">
        <v>12</v>
      </c>
      <c r="C10" s="12" t="n">
        <v>5</v>
      </c>
      <c r="D10" s="8" t="s">
        <v>13</v>
      </c>
    </row>
    <row r="11" customFormat="false" ht="15" hidden="false" customHeight="false" outlineLevel="0" collapsed="false">
      <c r="B11" s="6" t="s">
        <v>14</v>
      </c>
      <c r="C11" s="13" t="n">
        <f aca="false">FLOOR(C9/C10,1)</f>
        <v>2</v>
      </c>
      <c r="D11" s="8" t="s">
        <v>15</v>
      </c>
    </row>
    <row r="12" customFormat="false" ht="15" hidden="false" customHeight="false" outlineLevel="0" collapsed="false">
      <c r="B12" s="6" t="s">
        <v>16</v>
      </c>
      <c r="C12" s="14" t="n">
        <v>1.38</v>
      </c>
      <c r="D12" s="8" t="s">
        <v>17</v>
      </c>
    </row>
    <row r="13" customFormat="false" ht="15" hidden="false" customHeight="false" outlineLevel="0" collapsed="false">
      <c r="B13" s="6" t="s">
        <v>18</v>
      </c>
      <c r="C13" s="9" t="s">
        <v>19</v>
      </c>
    </row>
    <row r="14" customFormat="false" ht="15" hidden="false" customHeight="false" outlineLevel="0" collapsed="false">
      <c r="B14" s="6" t="s">
        <v>20</v>
      </c>
      <c r="C14" s="15" t="n">
        <v>600000</v>
      </c>
      <c r="D14" s="8" t="s">
        <v>21</v>
      </c>
    </row>
    <row r="16" customFormat="false" ht="19.5" hidden="false" customHeight="true" outlineLevel="0" collapsed="false">
      <c r="B16" s="4" t="s">
        <v>22</v>
      </c>
      <c r="C16" s="5"/>
      <c r="D16" s="5"/>
      <c r="E16" s="5"/>
      <c r="F16" s="5"/>
      <c r="G16" s="5"/>
      <c r="H16" s="5"/>
    </row>
    <row r="17" customFormat="false" ht="15" hidden="false" customHeight="false" outlineLevel="0" collapsed="false">
      <c r="B17" s="16" t="s">
        <v>23</v>
      </c>
      <c r="C17" s="17" t="n">
        <v>1</v>
      </c>
      <c r="D17" s="8" t="s">
        <v>24</v>
      </c>
    </row>
    <row r="18" customFormat="false" ht="15" hidden="false" customHeight="false" outlineLevel="0" collapsed="false">
      <c r="B18" s="6" t="s">
        <v>25</v>
      </c>
      <c r="C18" s="18" t="n">
        <v>2</v>
      </c>
      <c r="D18" s="8" t="s">
        <v>26</v>
      </c>
    </row>
    <row r="19" customFormat="false" ht="15" hidden="false" customHeight="false" outlineLevel="0" collapsed="false">
      <c r="B19" s="6" t="s">
        <v>27</v>
      </c>
      <c r="C19" s="19" t="n">
        <v>1000</v>
      </c>
      <c r="D19" s="8" t="s">
        <v>28</v>
      </c>
    </row>
    <row r="20" customFormat="false" ht="15" hidden="false" customHeight="false" outlineLevel="0" collapsed="false">
      <c r="B20" s="6" t="s">
        <v>29</v>
      </c>
      <c r="C20" s="20" t="n">
        <v>0.08</v>
      </c>
      <c r="D20" s="8" t="s">
        <v>30</v>
      </c>
    </row>
    <row r="21" customFormat="false" ht="15" hidden="false" customHeight="false" outlineLevel="0" collapsed="false">
      <c r="B21" s="6" t="s">
        <v>31</v>
      </c>
      <c r="C21" s="20" t="n">
        <v>0.025</v>
      </c>
      <c r="D21" s="8" t="s">
        <v>32</v>
      </c>
    </row>
    <row r="22" customFormat="false" ht="15" hidden="false" customHeight="false" outlineLevel="0" collapsed="false">
      <c r="B22" s="6" t="s">
        <v>33</v>
      </c>
      <c r="C22" s="20" t="n">
        <v>0.045</v>
      </c>
      <c r="D22" s="8" t="s">
        <v>34</v>
      </c>
    </row>
    <row r="23" customFormat="false" ht="15" hidden="false" customHeight="false" outlineLevel="0" collapsed="false">
      <c r="B23" s="6" t="s">
        <v>35</v>
      </c>
      <c r="C23" s="20" t="n">
        <v>0.05</v>
      </c>
      <c r="D23" s="8" t="s">
        <v>30</v>
      </c>
    </row>
    <row r="24" customFormat="false" ht="15" hidden="false" customHeight="false" outlineLevel="0" collapsed="false">
      <c r="B24" s="16" t="s">
        <v>36</v>
      </c>
      <c r="C24" s="17" t="n">
        <v>0.15</v>
      </c>
      <c r="D24" s="8" t="s">
        <v>37</v>
      </c>
    </row>
    <row r="25" customFormat="false" ht="15" hidden="false" customHeight="false" outlineLevel="0" collapsed="false">
      <c r="B25" s="6" t="s">
        <v>38</v>
      </c>
      <c r="C25" s="8" t="s">
        <v>39</v>
      </c>
    </row>
    <row r="27" customFormat="false" ht="19.5" hidden="false" customHeight="true" outlineLevel="0" collapsed="false">
      <c r="B27" s="4" t="s">
        <v>40</v>
      </c>
      <c r="C27" s="5"/>
      <c r="D27" s="5"/>
      <c r="E27" s="5"/>
      <c r="F27" s="5"/>
      <c r="G27" s="5"/>
      <c r="H27" s="5"/>
    </row>
    <row r="28" customFormat="false" ht="15" hidden="false" customHeight="false" outlineLevel="0" collapsed="false">
      <c r="B28" s="6" t="s">
        <v>41</v>
      </c>
      <c r="C28" s="21" t="n">
        <f aca="false">C6*C8</f>
        <v>4290</v>
      </c>
      <c r="D28" s="8" t="s">
        <v>42</v>
      </c>
    </row>
    <row r="29" customFormat="false" ht="15" hidden="false" customHeight="false" outlineLevel="0" collapsed="false">
      <c r="B29" s="6" t="s">
        <v>43</v>
      </c>
      <c r="C29" s="21" t="n">
        <f aca="false">C28*C18</f>
        <v>8580</v>
      </c>
      <c r="D29" s="8" t="s">
        <v>42</v>
      </c>
    </row>
    <row r="30" customFormat="false" ht="15" hidden="false" customHeight="false" outlineLevel="0" collapsed="false">
      <c r="B30" s="16" t="s">
        <v>44</v>
      </c>
      <c r="C30" s="22" t="n">
        <f aca="false">C29*C17</f>
        <v>8580</v>
      </c>
      <c r="D30" s="8" t="s">
        <v>42</v>
      </c>
    </row>
    <row r="32" customFormat="false" ht="19.5" hidden="false" customHeight="true" outlineLevel="0" collapsed="false">
      <c r="B32" s="4" t="s">
        <v>45</v>
      </c>
      <c r="C32" s="5"/>
      <c r="D32" s="5"/>
      <c r="E32" s="5"/>
      <c r="F32" s="5"/>
      <c r="G32" s="5"/>
      <c r="H32" s="5"/>
    </row>
    <row r="33" customFormat="false" ht="15" hidden="false" customHeight="false" outlineLevel="0" collapsed="false">
      <c r="B33" s="23" t="s">
        <v>46</v>
      </c>
      <c r="C33" s="24" t="s">
        <v>47</v>
      </c>
      <c r="D33" s="24" t="s">
        <v>48</v>
      </c>
      <c r="E33" s="24" t="s">
        <v>49</v>
      </c>
      <c r="F33" s="24" t="s">
        <v>50</v>
      </c>
      <c r="G33" s="24" t="s">
        <v>51</v>
      </c>
    </row>
    <row r="34" customFormat="false" ht="15" hidden="false" customHeight="false" outlineLevel="0" collapsed="false">
      <c r="B34" s="25" t="s">
        <v>52</v>
      </c>
      <c r="C34" s="26" t="n">
        <v>1</v>
      </c>
      <c r="D34" s="26" t="n">
        <v>956</v>
      </c>
      <c r="E34" s="27" t="n">
        <f aca="false">C34*D34</f>
        <v>956</v>
      </c>
      <c r="F34" s="28" t="n">
        <v>1391</v>
      </c>
      <c r="G34" s="29" t="n">
        <f aca="false">E34*F34</f>
        <v>1329796</v>
      </c>
    </row>
    <row r="35" customFormat="false" ht="15" hidden="false" customHeight="false" outlineLevel="0" collapsed="false">
      <c r="B35" s="25" t="s">
        <v>53</v>
      </c>
      <c r="C35" s="26" t="n">
        <v>5</v>
      </c>
      <c r="D35" s="26" t="n">
        <v>722</v>
      </c>
      <c r="E35" s="27" t="n">
        <f aca="false">C35*D35</f>
        <v>3610</v>
      </c>
      <c r="F35" s="28" t="n">
        <v>1699</v>
      </c>
      <c r="G35" s="29" t="n">
        <f aca="false">E35*F35</f>
        <v>6133390</v>
      </c>
    </row>
    <row r="36" customFormat="false" ht="15" hidden="false" customHeight="false" outlineLevel="0" collapsed="false">
      <c r="B36" s="25" t="s">
        <v>54</v>
      </c>
      <c r="C36" s="26" t="n">
        <v>0</v>
      </c>
      <c r="D36" s="26" t="n">
        <v>110</v>
      </c>
      <c r="E36" s="27" t="n">
        <f aca="false">C36*D36</f>
        <v>0</v>
      </c>
      <c r="F36" s="28" t="n">
        <v>2100</v>
      </c>
      <c r="G36" s="29" t="n">
        <f aca="false">E36*F36</f>
        <v>0</v>
      </c>
    </row>
    <row r="37" customFormat="false" ht="15" hidden="false" customHeight="false" outlineLevel="0" collapsed="false">
      <c r="B37" s="25" t="s">
        <v>55</v>
      </c>
      <c r="C37" s="26" t="n">
        <v>0</v>
      </c>
      <c r="D37" s="26" t="n">
        <v>66</v>
      </c>
      <c r="E37" s="27" t="n">
        <f aca="false">C37*D37</f>
        <v>0</v>
      </c>
      <c r="F37" s="28" t="n">
        <v>2273</v>
      </c>
      <c r="G37" s="29" t="n">
        <f aca="false">E37*F37</f>
        <v>0</v>
      </c>
    </row>
    <row r="38" customFormat="false" ht="15" hidden="false" customHeight="false" outlineLevel="0" collapsed="false">
      <c r="B38" s="30" t="s">
        <v>56</v>
      </c>
      <c r="C38" s="31" t="n">
        <f aca="false">SUM(C34:C37)</f>
        <v>6</v>
      </c>
      <c r="D38" s="32"/>
      <c r="E38" s="31" t="n">
        <f aca="false">SUM(E34:E37)</f>
        <v>4566</v>
      </c>
      <c r="F38" s="33" t="n">
        <f aca="false">G38/E38</f>
        <v>1634.51292159439</v>
      </c>
      <c r="G38" s="33" t="n">
        <f aca="false">SUM(G34:G37)</f>
        <v>7463186</v>
      </c>
    </row>
    <row r="39" customFormat="false" ht="15" hidden="false" customHeight="false" outlineLevel="0" collapsed="false">
      <c r="B39" s="34" t="s">
        <v>57</v>
      </c>
    </row>
    <row r="40" customFormat="false" ht="15" hidden="false" customHeight="false" outlineLevel="0" collapsed="false">
      <c r="B40" s="6" t="s">
        <v>58</v>
      </c>
      <c r="C40" s="21" t="n">
        <f aca="false">C30</f>
        <v>8580</v>
      </c>
      <c r="D40" s="8" t="s">
        <v>59</v>
      </c>
    </row>
    <row r="41" customFormat="false" ht="15" hidden="false" customHeight="false" outlineLevel="0" collapsed="false">
      <c r="B41" s="16" t="s">
        <v>60</v>
      </c>
      <c r="C41" s="35" t="n">
        <f aca="false">E38/C30</f>
        <v>0.532167832167832</v>
      </c>
      <c r="D41" s="8" t="s">
        <v>61</v>
      </c>
    </row>
    <row r="42" customFormat="false" ht="15" hidden="false" customHeight="false" outlineLevel="0" collapsed="false">
      <c r="B42" s="6" t="s">
        <v>62</v>
      </c>
      <c r="C42" s="21" t="n">
        <f aca="false">C30-E38</f>
        <v>4014</v>
      </c>
      <c r="D42" s="8" t="s">
        <v>42</v>
      </c>
    </row>
    <row r="43" customFormat="false" ht="15" hidden="false" customHeight="false" outlineLevel="0" collapsed="false">
      <c r="B43" s="6" t="s">
        <v>63</v>
      </c>
      <c r="C43" s="21" t="n">
        <f aca="false">C14/(F38*(1-C24) - ((C19/C17)*(1+C20+C23) + C22*(C19/C17)*(1+C20) + C21*F38))</f>
        <v>3532.04708081066</v>
      </c>
      <c r="D43" s="8" t="s">
        <v>64</v>
      </c>
    </row>
    <row r="44" customFormat="false" ht="15" hidden="false" customHeight="false" outlineLevel="0" collapsed="false">
      <c r="B44" s="16" t="s">
        <v>65</v>
      </c>
      <c r="C44" s="16" t="str">
        <f aca="false">IF(E38&gt;C30,"PAST RUIMTELIJK NIET ✗",IF(E38&lt;C43,"ONDER economische ondergrens ✗","GOEDE MIX ✓ — binnen envelop én boven ondergrens"))</f>
        <v>GOEDE MIX ✓ — binnen envelop én boven ondergrens</v>
      </c>
    </row>
    <row r="46" customFormat="false" ht="19.5" hidden="false" customHeight="true" outlineLevel="0" collapsed="false">
      <c r="B46" s="4" t="s">
        <v>66</v>
      </c>
      <c r="C46" s="5"/>
      <c r="D46" s="5"/>
      <c r="E46" s="5"/>
      <c r="F46" s="5"/>
      <c r="G46" s="5"/>
      <c r="H46" s="5"/>
    </row>
    <row r="47" customFormat="false" ht="15" hidden="false" customHeight="false" outlineLevel="0" collapsed="false">
      <c r="B47" s="6" t="s">
        <v>67</v>
      </c>
      <c r="C47" s="21" t="n">
        <f aca="false">E38</f>
        <v>4566</v>
      </c>
      <c r="D47" s="8" t="s">
        <v>42</v>
      </c>
    </row>
    <row r="48" customFormat="false" ht="15" hidden="false" customHeight="false" outlineLevel="0" collapsed="false">
      <c r="B48" s="16" t="s">
        <v>68</v>
      </c>
      <c r="C48" s="36" t="n">
        <f aca="false">E38/C17</f>
        <v>4566</v>
      </c>
      <c r="D48" s="8" t="s">
        <v>42</v>
      </c>
    </row>
    <row r="49" customFormat="false" ht="15" hidden="false" customHeight="false" outlineLevel="0" collapsed="false">
      <c r="B49" s="6" t="s">
        <v>69</v>
      </c>
      <c r="C49" s="21" t="n">
        <f aca="false">C48/C18</f>
        <v>2283</v>
      </c>
      <c r="D49" s="8" t="s">
        <v>42</v>
      </c>
    </row>
    <row r="50" customFormat="false" ht="15" hidden="false" customHeight="false" outlineLevel="0" collapsed="false">
      <c r="B50" s="6" t="s">
        <v>41</v>
      </c>
      <c r="C50" s="21" t="n">
        <f aca="false">C28</f>
        <v>4290</v>
      </c>
      <c r="D50" s="8" t="s">
        <v>42</v>
      </c>
    </row>
    <row r="51" customFormat="false" ht="15" hidden="false" customHeight="false" outlineLevel="0" collapsed="false">
      <c r="B51" s="6" t="s">
        <v>70</v>
      </c>
      <c r="C51" s="37" t="n">
        <f aca="false">C49/C6</f>
        <v>0.319300699300699</v>
      </c>
      <c r="D51" s="8" t="s">
        <v>9</v>
      </c>
    </row>
    <row r="52" customFormat="false" ht="15" hidden="false" customHeight="false" outlineLevel="0" collapsed="false">
      <c r="B52" s="6" t="s">
        <v>71</v>
      </c>
      <c r="C52" s="38" t="n">
        <f aca="false">C18*C10</f>
        <v>10</v>
      </c>
      <c r="D52" s="8" t="s">
        <v>11</v>
      </c>
    </row>
    <row r="53" customFormat="false" ht="15" hidden="false" customHeight="false" outlineLevel="0" collapsed="false">
      <c r="B53" s="16" t="s">
        <v>72</v>
      </c>
      <c r="C53" s="16" t="str">
        <f aca="false">IF(C49&lt;=C28,"PAST ✓","PAST NIET ✗ — meer lagen of minder BVO")</f>
        <v>PAST ✓</v>
      </c>
    </row>
    <row r="54" customFormat="false" ht="15" hidden="false" customHeight="false" outlineLevel="0" collapsed="false">
      <c r="B54" s="6" t="s">
        <v>73</v>
      </c>
      <c r="C54" s="39" t="n">
        <f aca="false">C48/100*C12</f>
        <v>63.0108</v>
      </c>
      <c r="D54" s="8" t="s">
        <v>74</v>
      </c>
    </row>
    <row r="56" customFormat="false" ht="19.5" hidden="false" customHeight="true" outlineLevel="0" collapsed="false">
      <c r="B56" s="4" t="s">
        <v>75</v>
      </c>
      <c r="C56" s="5"/>
      <c r="D56" s="5"/>
      <c r="E56" s="5"/>
      <c r="F56" s="5"/>
      <c r="G56" s="5"/>
      <c r="H56" s="5"/>
    </row>
    <row r="57" customFormat="false" ht="15" hidden="false" customHeight="false" outlineLevel="0" collapsed="false">
      <c r="B57" s="6" t="s">
        <v>76</v>
      </c>
      <c r="C57" s="40" t="n">
        <f aca="false">C14</f>
        <v>600000</v>
      </c>
    </row>
    <row r="58" customFormat="false" ht="15" hidden="false" customHeight="false" outlineLevel="0" collapsed="false">
      <c r="B58" s="6" t="s">
        <v>77</v>
      </c>
      <c r="C58" s="40" t="n">
        <f aca="false">C48*C19</f>
        <v>4566000</v>
      </c>
    </row>
    <row r="59" customFormat="false" ht="15" hidden="false" customHeight="false" outlineLevel="0" collapsed="false">
      <c r="B59" s="6" t="s">
        <v>29</v>
      </c>
      <c r="C59" s="40" t="n">
        <f aca="false">C58*C20</f>
        <v>365280</v>
      </c>
    </row>
    <row r="60" customFormat="false" ht="15" hidden="false" customHeight="false" outlineLevel="0" collapsed="false">
      <c r="B60" s="6" t="s">
        <v>31</v>
      </c>
      <c r="C60" s="40" t="n">
        <f aca="false">G38*C21</f>
        <v>186579.65</v>
      </c>
    </row>
    <row r="61" customFormat="false" ht="15" hidden="false" customHeight="false" outlineLevel="0" collapsed="false">
      <c r="B61" s="6" t="s">
        <v>33</v>
      </c>
      <c r="C61" s="40" t="n">
        <f aca="false">(C58+C59)*C22</f>
        <v>221907.6</v>
      </c>
    </row>
    <row r="62" customFormat="false" ht="15" hidden="false" customHeight="false" outlineLevel="0" collapsed="false">
      <c r="B62" s="6" t="s">
        <v>35</v>
      </c>
      <c r="C62" s="40" t="n">
        <f aca="false">C58*C23</f>
        <v>228300</v>
      </c>
    </row>
    <row r="63" customFormat="false" ht="15" hidden="false" customHeight="false" outlineLevel="0" collapsed="false">
      <c r="B63" s="16" t="s">
        <v>78</v>
      </c>
      <c r="C63" s="41" t="n">
        <f aca="false">C57+C58+C59+C60+C61+C62</f>
        <v>6168067.25</v>
      </c>
    </row>
    <row r="65" customFormat="false" ht="19.5" hidden="false" customHeight="true" outlineLevel="0" collapsed="false">
      <c r="B65" s="4" t="s">
        <v>79</v>
      </c>
      <c r="C65" s="5"/>
      <c r="D65" s="5"/>
      <c r="E65" s="5"/>
      <c r="F65" s="5"/>
      <c r="G65" s="5"/>
      <c r="H65" s="5"/>
    </row>
    <row r="66" customFormat="false" ht="15" hidden="false" customHeight="false" outlineLevel="0" collapsed="false">
      <c r="B66" s="6" t="s">
        <v>80</v>
      </c>
      <c r="C66" s="40" t="n">
        <f aca="false">G38</f>
        <v>7463186</v>
      </c>
    </row>
    <row r="67" customFormat="false" ht="15" hidden="false" customHeight="false" outlineLevel="0" collapsed="false">
      <c r="B67" s="6" t="s">
        <v>81</v>
      </c>
      <c r="C67" s="40" t="n">
        <f aca="false">C63</f>
        <v>6168067.25</v>
      </c>
    </row>
    <row r="68" customFormat="false" ht="15" hidden="false" customHeight="false" outlineLevel="0" collapsed="false">
      <c r="B68" s="16" t="s">
        <v>82</v>
      </c>
      <c r="C68" s="41" t="n">
        <f aca="false">G38-C63</f>
        <v>1295118.75</v>
      </c>
    </row>
    <row r="69" customFormat="false" ht="15" hidden="false" customHeight="false" outlineLevel="0" collapsed="false">
      <c r="B69" s="16" t="s">
        <v>83</v>
      </c>
      <c r="C69" s="35" t="n">
        <f aca="false">C68/G38</f>
        <v>0.173534298890581</v>
      </c>
    </row>
    <row r="70" customFormat="false" ht="15" hidden="false" customHeight="false" outlineLevel="0" collapsed="false">
      <c r="B70" s="6" t="s">
        <v>84</v>
      </c>
      <c r="C70" s="37" t="n">
        <f aca="false">C68/C63</f>
        <v>0.209971567673812</v>
      </c>
    </row>
    <row r="71" customFormat="false" ht="15" hidden="false" customHeight="false" outlineLevel="0" collapsed="false">
      <c r="B71" s="6" t="s">
        <v>85</v>
      </c>
      <c r="C71" s="40" t="n">
        <f aca="false">C68/E38</f>
        <v>283.644053876478</v>
      </c>
      <c r="D71" s="8" t="s">
        <v>86</v>
      </c>
    </row>
    <row r="72" customFormat="false" ht="15" hidden="false" customHeight="false" outlineLevel="0" collapsed="false">
      <c r="B72" s="16" t="s">
        <v>87</v>
      </c>
      <c r="C72" s="16" t="str">
        <f aca="false">IF(C69&gt;=C24,"GO ✓ — marge haalt de target","ONDER TARGET — optimaliseren")</f>
        <v>GO ✓ — marge haalt de target</v>
      </c>
    </row>
    <row r="74" customFormat="false" ht="19.5" hidden="false" customHeight="true" outlineLevel="0" collapsed="false">
      <c r="B74" s="4" t="s">
        <v>88</v>
      </c>
      <c r="C74" s="5"/>
      <c r="D74" s="5"/>
      <c r="E74" s="5"/>
      <c r="F74" s="5"/>
      <c r="G74" s="5"/>
      <c r="H74" s="5"/>
    </row>
    <row r="75" customFormat="false" ht="15" hidden="false" customHeight="false" outlineLevel="0" collapsed="false">
      <c r="B75" s="6" t="s">
        <v>89</v>
      </c>
      <c r="C75" s="40" t="n">
        <f aca="false">C63-C57</f>
        <v>5568067.25</v>
      </c>
    </row>
    <row r="76" customFormat="false" ht="15" hidden="false" customHeight="false" outlineLevel="0" collapsed="false">
      <c r="B76" s="16" t="s">
        <v>90</v>
      </c>
      <c r="C76" s="42" t="n">
        <f aca="false">G38-C75-C24*G38</f>
        <v>775640.85</v>
      </c>
    </row>
    <row r="77" customFormat="false" ht="15" hidden="false" customHeight="false" outlineLevel="0" collapsed="false">
      <c r="B77" s="6" t="s">
        <v>91</v>
      </c>
      <c r="C77" s="40" t="n">
        <f aca="false">C14</f>
        <v>600000</v>
      </c>
    </row>
    <row r="78" customFormat="false" ht="15" hidden="false" customHeight="false" outlineLevel="0" collapsed="false">
      <c r="B78" s="16" t="s">
        <v>92</v>
      </c>
      <c r="C78" s="41" t="n">
        <f aca="false">C76-C14</f>
        <v>175640.85</v>
      </c>
      <c r="E78" s="8" t="s">
        <v>93</v>
      </c>
    </row>
    <row r="80" customFormat="false" ht="19.5" hidden="false" customHeight="true" outlineLevel="0" collapsed="false">
      <c r="B80" s="4" t="s">
        <v>94</v>
      </c>
      <c r="C80" s="5"/>
      <c r="D80" s="5"/>
      <c r="E80" s="5"/>
      <c r="F80" s="5"/>
      <c r="G80" s="5"/>
      <c r="H80" s="5"/>
    </row>
    <row r="81" customFormat="false" ht="15" hidden="false" customHeight="false" outlineLevel="0" collapsed="false">
      <c r="B81" s="43" t="s">
        <v>95</v>
      </c>
      <c r="C81" s="44" t="n">
        <v>0.95</v>
      </c>
      <c r="D81" s="44" t="n">
        <v>1</v>
      </c>
      <c r="E81" s="44" t="n">
        <v>1.05</v>
      </c>
      <c r="F81" s="44" t="n">
        <v>1.1</v>
      </c>
    </row>
    <row r="82" customFormat="false" ht="15" hidden="false" customHeight="false" outlineLevel="0" collapsed="false">
      <c r="B82" s="45" t="n">
        <v>3000000</v>
      </c>
      <c r="C82" s="46" t="n">
        <f aca="false">((G38*C81) - (B82+C58+C59+C61+C62+G38*C81*C21))/(G38*C81)</f>
        <v>-0.207151768201381</v>
      </c>
      <c r="D82" s="46" t="n">
        <f aca="false">((G38*D81) - (B82+C58+C59+C61+C62+G38*D81*C21))/(G38*D81)</f>
        <v>-0.148044179791312</v>
      </c>
      <c r="E82" s="46" t="n">
        <f aca="false">((G38*E81) - (B82+C58+C59+C61+C62+G38*E81*C21))/(G38*E81)</f>
        <v>-0.0945658855155348</v>
      </c>
      <c r="F82" s="46" t="n">
        <f aca="false">((G38*F81) - (B82+C58+C59+C61+C62+G38*F81*C21))/(G38*F81)</f>
        <v>-0.0459492543557378</v>
      </c>
    </row>
    <row r="83" customFormat="false" ht="15" hidden="false" customHeight="false" outlineLevel="0" collapsed="false">
      <c r="B83" s="45" t="n">
        <v>3500000</v>
      </c>
      <c r="C83" s="46" t="n">
        <f aca="false">((G38*C81) - (B83+C58+C59+C61+C62+G38*C81*C21))/(G38*C81)</f>
        <v>-0.27767336440355</v>
      </c>
      <c r="D83" s="46" t="n">
        <f aca="false">((G38*D81) - (B83+C58+C59+C61+C62+G38*D81*C21))/(G38*D81)</f>
        <v>-0.215039696183373</v>
      </c>
      <c r="E83" s="46" t="n">
        <f aca="false">((G38*E81) - (B83+C58+C59+C61+C62+G38*E81*C21))/(G38*E81)</f>
        <v>-0.15837113922226</v>
      </c>
      <c r="F83" s="46" t="n">
        <f aca="false">((G38*F81) - (B83+C58+C59+C61+C62+G38*F81*C21))/(G38*F81)</f>
        <v>-0.106854269257611</v>
      </c>
    </row>
    <row r="84" customFormat="false" ht="15" hidden="false" customHeight="false" outlineLevel="0" collapsed="false">
      <c r="B84" s="45" t="n">
        <v>4000000</v>
      </c>
      <c r="C84" s="46" t="n">
        <f aca="false">((G38*C81) - (B84+C58+C59+C61+C62+G38*C81*C21))/(G38*C81)</f>
        <v>-0.34819496060572</v>
      </c>
      <c r="D84" s="46" t="n">
        <f aca="false">((G38*D81) - (B84+C58+C59+C61+C62+G38*D81*C21))/(G38*D81)</f>
        <v>-0.282035212575434</v>
      </c>
      <c r="E84" s="46" t="n">
        <f aca="false">((G38*E81) - (B84+C58+C59+C61+C62+G38*E81*C21))/(G38*E81)</f>
        <v>-0.222176392928984</v>
      </c>
      <c r="F84" s="46" t="n">
        <f aca="false">((G38*F81) - (B84+C58+C59+C61+C62+G38*F81*C21))/(G38*F81)</f>
        <v>-0.167759284159485</v>
      </c>
    </row>
    <row r="85" customFormat="false" ht="15" hidden="false" customHeight="false" outlineLevel="0" collapsed="false">
      <c r="B85" s="45" t="n">
        <v>4500000</v>
      </c>
      <c r="C85" s="46" t="n">
        <f aca="false">((G38*C81) - (B85+C58+C59+C61+C62+G38*C81*C21))/(G38*C81)</f>
        <v>-0.418716556807889</v>
      </c>
      <c r="D85" s="46" t="n">
        <f aca="false">((G38*D81) - (B85+C58+C59+C61+C62+G38*D81*C21))/(G38*D81)</f>
        <v>-0.349030728967495</v>
      </c>
      <c r="E85" s="46" t="n">
        <f aca="false">((G38*E81) - (B85+C58+C59+C61+C62+G38*E81*C21))/(G38*E81)</f>
        <v>-0.285981646635709</v>
      </c>
      <c r="F85" s="46" t="n">
        <f aca="false">((G38*F81) - (B85+C58+C59+C61+C62+G38*F81*C21))/(G38*F81)</f>
        <v>-0.228664299061359</v>
      </c>
    </row>
    <row r="86" customFormat="false" ht="15" hidden="false" customHeight="false" outlineLevel="0" collapsed="false">
      <c r="B86" s="45" t="n">
        <v>5000000</v>
      </c>
      <c r="C86" s="46" t="n">
        <f aca="false">((G38*C81) - (B86+C58+C59+C61+C62+G38*C81*C21))/(G38*C81)</f>
        <v>-0.489238153010059</v>
      </c>
      <c r="D86" s="46" t="n">
        <f aca="false">((G38*D81) - (B86+C58+C59+C61+C62+G38*D81*C21))/(G38*D81)</f>
        <v>-0.416026245359556</v>
      </c>
      <c r="E86" s="46" t="n">
        <f aca="false">((G38*E81) - (B86+C58+C59+C61+C62+G38*E81*C21))/(G38*E81)</f>
        <v>-0.349786900342434</v>
      </c>
      <c r="F86" s="46" t="n">
        <f aca="false">((G38*F81) - (B86+C58+C59+C61+C62+G38*F81*C21))/(G38*F81)</f>
        <v>-0.289569313963232</v>
      </c>
    </row>
    <row r="87" customFormat="false" ht="15" hidden="false" customHeight="false" outlineLevel="0" collapsed="false">
      <c r="B87" s="8" t="s">
        <v>96</v>
      </c>
    </row>
    <row r="89" customFormat="false" ht="19.5" hidden="false" customHeight="true" outlineLevel="0" collapsed="false">
      <c r="B89" s="47" t="s">
        <v>97</v>
      </c>
      <c r="C89" s="48"/>
      <c r="D89" s="48"/>
      <c r="E89" s="48"/>
      <c r="F89" s="48"/>
      <c r="G89" s="48"/>
      <c r="H89" s="48"/>
    </row>
    <row r="90" customFormat="false" ht="15" hidden="false" customHeight="false" outlineLevel="0" collapsed="false">
      <c r="B90" s="49" t="s">
        <v>98</v>
      </c>
      <c r="C90" s="50" t="n">
        <f aca="false">C43</f>
        <v>3532.04708081066</v>
      </c>
      <c r="D90" s="51" t="s">
        <v>99</v>
      </c>
      <c r="E90" s="52"/>
      <c r="F90" s="52"/>
      <c r="G90" s="52"/>
      <c r="H90" s="52"/>
    </row>
    <row r="91" customFormat="false" ht="15" hidden="false" customHeight="false" outlineLevel="0" collapsed="false">
      <c r="B91" s="49" t="s">
        <v>100</v>
      </c>
      <c r="C91" s="50" t="n">
        <f aca="false">C30</f>
        <v>8580</v>
      </c>
      <c r="D91" s="51" t="s">
        <v>101</v>
      </c>
      <c r="E91" s="52"/>
      <c r="F91" s="52"/>
      <c r="G91" s="52"/>
      <c r="H91" s="52"/>
    </row>
    <row r="92" customFormat="false" ht="15" hidden="false" customHeight="false" outlineLevel="0" collapsed="false">
      <c r="B92" s="53" t="s">
        <v>102</v>
      </c>
      <c r="C92" s="54" t="n">
        <f aca="false">C24</f>
        <v>0.15</v>
      </c>
      <c r="D92" s="51" t="s">
        <v>103</v>
      </c>
      <c r="E92" s="52"/>
      <c r="F92" s="52"/>
      <c r="G92" s="52"/>
      <c r="H92" s="52"/>
    </row>
    <row r="93" customFormat="false" ht="15" hidden="false" customHeight="false" outlineLevel="0" collapsed="false">
      <c r="B93" s="53" t="s">
        <v>104</v>
      </c>
      <c r="C93" s="55" t="n">
        <f aca="false">C76</f>
        <v>775640.85</v>
      </c>
      <c r="D93" s="51" t="s">
        <v>105</v>
      </c>
      <c r="E93" s="52"/>
      <c r="F93" s="52"/>
      <c r="G93" s="52"/>
      <c r="H93" s="52"/>
    </row>
    <row r="94" customFormat="false" ht="15" hidden="false" customHeight="false" outlineLevel="0" collapsed="false">
      <c r="B94" s="56" t="s">
        <v>106</v>
      </c>
      <c r="C94" s="52"/>
      <c r="D94" s="52"/>
      <c r="E94" s="52"/>
      <c r="F94" s="52"/>
      <c r="G94" s="52"/>
      <c r="H94" s="52"/>
    </row>
    <row r="95" customFormat="false" ht="15" hidden="false" customHeight="false" outlineLevel="0" collapsed="false">
      <c r="B95" s="53" t="s">
        <v>107</v>
      </c>
      <c r="C95" s="50" t="n">
        <f aca="false">C48</f>
        <v>4566</v>
      </c>
      <c r="D95" s="52"/>
      <c r="E95" s="52"/>
      <c r="F95" s="52"/>
      <c r="G95" s="52"/>
      <c r="H95" s="52"/>
    </row>
    <row r="96" customFormat="false" ht="15" hidden="false" customHeight="false" outlineLevel="0" collapsed="false">
      <c r="B96" s="53" t="s">
        <v>67</v>
      </c>
      <c r="C96" s="50" t="n">
        <f aca="false">E38</f>
        <v>4566</v>
      </c>
      <c r="D96" s="52"/>
      <c r="E96" s="52"/>
      <c r="F96" s="52"/>
      <c r="G96" s="52"/>
      <c r="H96" s="52"/>
    </row>
    <row r="97" customFormat="false" ht="15" hidden="false" customHeight="false" outlineLevel="0" collapsed="false">
      <c r="B97" s="53" t="s">
        <v>108</v>
      </c>
      <c r="C97" s="57" t="n">
        <f aca="false">C38</f>
        <v>6</v>
      </c>
      <c r="D97" s="52"/>
      <c r="E97" s="52"/>
      <c r="F97" s="52"/>
      <c r="G97" s="52"/>
      <c r="H97" s="52"/>
    </row>
    <row r="98" customFormat="false" ht="15" hidden="false" customHeight="false" outlineLevel="0" collapsed="false">
      <c r="B98" s="53" t="s">
        <v>109</v>
      </c>
      <c r="C98" s="55" t="n">
        <f aca="false">F38</f>
        <v>1634.51292159439</v>
      </c>
      <c r="D98" s="51" t="s">
        <v>86</v>
      </c>
      <c r="E98" s="52"/>
      <c r="F98" s="52"/>
      <c r="G98" s="52"/>
      <c r="H98" s="52"/>
    </row>
    <row r="99" customFormat="false" ht="15" hidden="false" customHeight="false" outlineLevel="0" collapsed="false">
      <c r="B99" s="53" t="s">
        <v>110</v>
      </c>
      <c r="C99" s="55" t="n">
        <f aca="false">G38</f>
        <v>7463186</v>
      </c>
      <c r="D99" s="52"/>
      <c r="E99" s="52"/>
      <c r="F99" s="52"/>
      <c r="G99" s="52"/>
      <c r="H99" s="52"/>
    </row>
    <row r="100" customFormat="false" ht="15" hidden="false" customHeight="false" outlineLevel="0" collapsed="false">
      <c r="B100" s="53" t="s">
        <v>111</v>
      </c>
      <c r="C100" s="55" t="n">
        <f aca="false">C58</f>
        <v>4566000</v>
      </c>
      <c r="D100" s="52"/>
      <c r="E100" s="52"/>
      <c r="F100" s="52"/>
      <c r="G100" s="52"/>
      <c r="H100" s="52"/>
    </row>
    <row r="101" customFormat="false" ht="15" hidden="false" customHeight="false" outlineLevel="0" collapsed="false">
      <c r="B101" s="53" t="s">
        <v>73</v>
      </c>
      <c r="C101" s="58" t="n">
        <f aca="false">C54</f>
        <v>63.0108</v>
      </c>
      <c r="D101" s="52"/>
      <c r="E101" s="52"/>
      <c r="F101" s="52"/>
      <c r="G101" s="52"/>
      <c r="H101" s="52"/>
    </row>
    <row r="102" customFormat="false" ht="15" hidden="false" customHeight="false" outlineLevel="0" collapsed="false">
      <c r="B102" s="3" t="s">
        <v>112</v>
      </c>
      <c r="C102" s="3"/>
      <c r="D102" s="3"/>
      <c r="E102" s="3"/>
      <c r="F102" s="3"/>
      <c r="G102" s="3"/>
      <c r="H102" s="3"/>
    </row>
  </sheetData>
  <mergeCells count="4">
    <mergeCell ref="B1:H1"/>
    <mergeCell ref="B2:H2"/>
    <mergeCell ref="B3:H3"/>
    <mergeCell ref="B102:H102"/>
  </mergeCells>
  <conditionalFormatting sqref="C82:F86">
    <cfRule type="cellIs" priority="2" operator="greaterThanOrEqual" aboveAverage="0" equalAverage="0" bottom="0" percent="0" rank="0" text="" dxfId="0">
      <formula>$C$24</formula>
    </cfRule>
    <cfRule type="cellIs" priority="3" operator="lessThan" aboveAverage="0" equalAverage="0" bottom="0" percent="0" rank="0" text="" dxfId="1">
      <formula>$C$24</formula>
    </cfRule>
  </conditionalFormatting>
  <conditionalFormatting sqref="C41">
    <cfRule type="cellIs" priority="4" operator="greaterThan" aboveAverage="0" equalAverage="0" bottom="0" percent="0" rank="0" text="" dxfId="2">
      <formula>1</formula>
    </cfRule>
    <cfRule type="cellIs" priority="5" operator="lessThanOrEqual" aboveAverage="0" equalAverage="0" bottom="0" percent="0" rank="0" text="" dxfId="0"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2026-08-30T17:33:37Z</dcterms:created>
  <dc:creator>openpyxl</dc:creator>
  <dc:description/>
  <dc:language>en-US</dc:language>
  <cp:lastModifiedBy/>
  <dcterms:modified xsi:type="dcterms:W3CDTF">2026-08-30T17:33:37Z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