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velopment Model" sheetId="1" state="visible" r:id="rId1"/>
  </sheets>
  <definedNames>
    <definedName name="_xlnm.Print_Area" localSheetId="0">'Development Model'!$A$1:$H$102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&quot; m²&quot;"/>
    <numFmt numFmtId="165" formatCode="0.0%"/>
    <numFmt numFmtId="166" formatCode="#,##0&quot; m&quot;"/>
    <numFmt numFmtId="167" formatCode="#,##0.0&quot; m&quot;"/>
    <numFmt numFmtId="168" formatCode="#,##0.00&quot; / 100 m²&quot;"/>
    <numFmt numFmtId="169" formatCode="\€#,##0"/>
    <numFmt numFmtId="170" formatCode="#,##0&quot; pp&quot;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A33"/>
      <sz val="15"/>
    </font>
    <font>
      <name val="Arial"/>
      <charset val="1"/>
      <family val="0"/>
      <color rgb="FF6B7680"/>
      <sz val="10"/>
    </font>
    <font>
      <name val="Arial"/>
      <charset val="1"/>
      <family val="0"/>
      <color rgb="FF6B76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1F2A33"/>
      <sz val="10"/>
    </font>
    <font>
      <name val="Arial"/>
      <charset val="1"/>
      <family val="0"/>
      <color rgb="FF1E6E3C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2A33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5A6570"/>
      <sz val="9"/>
    </font>
    <font>
      <name val="Arial"/>
      <charset val="1"/>
      <family val="0"/>
      <b val="1"/>
      <color rgb="FF3A2A66"/>
      <sz val="10"/>
    </font>
    <font>
      <name val="Arial"/>
      <charset val="1"/>
      <family val="0"/>
      <i val="1"/>
      <color rgb="FF8A72C0"/>
      <sz val="9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1F2A33"/>
        <bgColor rgb="FF333300"/>
      </patternFill>
    </fill>
    <fill>
      <patternFill patternType="solid">
        <fgColor rgb="FFE4F0E7"/>
        <bgColor rgb="FFF0F1EC"/>
      </patternFill>
    </fill>
    <fill>
      <patternFill patternType="solid">
        <fgColor rgb="FFEAF0FB"/>
        <bgColor rgb="FFEFEAFB"/>
      </patternFill>
    </fill>
    <fill>
      <patternFill patternType="solid">
        <fgColor rgb="FFFFF3C4"/>
        <bgColor rgb="FFF0F1EC"/>
      </patternFill>
    </fill>
    <fill>
      <patternFill patternType="solid">
        <fgColor rgb="FFF0F1EC"/>
        <bgColor rgb="FFEAF0FB"/>
      </patternFill>
    </fill>
    <fill>
      <patternFill patternType="solid">
        <fgColor rgb="FF5A3AA8"/>
        <bgColor rgb="FF3A2A66"/>
      </patternFill>
    </fill>
    <fill>
      <patternFill patternType="solid">
        <fgColor rgb="FFEFEAFB"/>
        <bgColor rgb="FFEAF0FB"/>
      </patternFill>
    </fill>
  </fills>
  <borders count="2">
    <border>
      <left/>
      <right/>
      <top/>
      <bottom/>
      <diagonal/>
    </border>
    <border>
      <left style="thin">
        <color rgb="FFD8DCD5"/>
      </left>
      <right style="thin">
        <color rgb="FFD8DCD5"/>
      </right>
      <top style="thin">
        <color rgb="FFD8DCD5"/>
      </top>
      <bottom style="thin">
        <color rgb="FFD8DCD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166" fontId="9" fillId="3" borderId="0" applyAlignment="1" pivotButton="0" quotePrefix="0" xfId="0">
      <alignment horizontal="general" vertical="bottom"/>
    </xf>
    <xf numFmtId="167" fontId="10" fillId="4" borderId="0" applyAlignment="1" pivotButton="0" quotePrefix="0" xfId="0">
      <alignment horizontal="general" vertical="bottom"/>
    </xf>
    <xf numFmtId="3" fontId="11" fillId="0" borderId="0" applyAlignment="1" pivotButton="0" quotePrefix="0" xfId="0">
      <alignment horizontal="general" vertical="bottom"/>
    </xf>
    <xf numFmtId="168" fontId="9" fillId="3" borderId="0" applyAlignment="1" pivotButton="0" quotePrefix="0" xfId="0">
      <alignment horizontal="general" vertical="bottom"/>
    </xf>
    <xf numFmtId="169" fontId="10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1" fillId="5" borderId="0" applyAlignment="1" pivotButton="0" quotePrefix="0" xfId="0">
      <alignment horizontal="general" vertical="bottom"/>
    </xf>
    <xf numFmtId="3" fontId="10" fillId="4" borderId="0" applyAlignment="1" pivotButton="0" quotePrefix="0" xfId="0">
      <alignment horizontal="general" vertical="bottom"/>
    </xf>
    <xf numFmtId="169" fontId="10" fillId="4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4" fontId="12" fillId="5" borderId="0" applyAlignment="1" pivotButton="0" quotePrefix="0" xfId="0">
      <alignment horizontal="general" vertical="bottom"/>
    </xf>
    <xf numFmtId="0" fontId="12" fillId="6" borderId="1" applyAlignment="1" pivotButton="0" quotePrefix="0" xfId="0">
      <alignment horizontal="left" vertical="bottom"/>
    </xf>
    <xf numFmtId="0" fontId="12" fillId="6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general" vertical="bottom"/>
    </xf>
    <xf numFmtId="3" fontId="10" fillId="4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169" fontId="10" fillId="4" borderId="1" applyAlignment="1" pivotButton="0" quotePrefix="0" xfId="0">
      <alignment horizontal="general" vertical="bottom"/>
    </xf>
    <xf numFmtId="169" fontId="11" fillId="0" borderId="1" applyAlignment="1" pivotButton="0" quotePrefix="0" xfId="0">
      <alignment horizontal="general" vertical="bottom"/>
    </xf>
    <xf numFmtId="0" fontId="13" fillId="6" borderId="1" applyAlignment="1" pivotButton="0" quotePrefix="0" xfId="0">
      <alignment horizontal="general" vertical="bottom"/>
    </xf>
    <xf numFmtId="3" fontId="13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169" fontId="13" fillId="6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general" vertical="bottom"/>
    </xf>
    <xf numFmtId="169" fontId="11" fillId="0" borderId="0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general" vertical="bottom"/>
    </xf>
    <xf numFmtId="169" fontId="12" fillId="5" borderId="0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9" fontId="12" fillId="6" borderId="1" applyAlignment="1" pivotButton="0" quotePrefix="0" xfId="0">
      <alignment horizontal="right" vertical="bottom"/>
    </xf>
    <xf numFmtId="169" fontId="11" fillId="6" borderId="1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right" vertical="bottom"/>
    </xf>
    <xf numFmtId="0" fontId="7" fillId="7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general" vertical="bottom"/>
    </xf>
    <xf numFmtId="164" fontId="15" fillId="8" borderId="0" applyAlignment="1" pivotButton="0" quotePrefix="0" xfId="0">
      <alignment horizontal="general" vertical="bottom"/>
    </xf>
    <xf numFmtId="0" fontId="6" fillId="8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general" vertical="bottom"/>
    </xf>
    <xf numFmtId="165" fontId="15" fillId="8" borderId="0" applyAlignment="1" pivotButton="0" quotePrefix="0" xfId="0">
      <alignment horizontal="general" vertical="bottom"/>
    </xf>
    <xf numFmtId="169" fontId="15" fillId="8" borderId="0" applyAlignment="1" pivotButton="0" quotePrefix="0" xfId="0">
      <alignment horizontal="general" vertical="bottom"/>
    </xf>
    <xf numFmtId="0" fontId="16" fillId="8" borderId="0" applyAlignment="1" pivotButton="0" quotePrefix="0" xfId="0">
      <alignment horizontal="general" vertical="bottom"/>
    </xf>
    <xf numFmtId="3" fontId="15" fillId="8" borderId="0" applyAlignment="1" pivotButton="0" quotePrefix="0" xfId="0">
      <alignment horizontal="general" vertical="bottom"/>
    </xf>
    <xf numFmtId="170" fontId="15" fillId="8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166" fontId="9" fillId="3" borderId="0" applyAlignment="1" pivotButton="0" quotePrefix="0" xfId="0">
      <alignment horizontal="general" vertical="bottom"/>
    </xf>
    <xf numFmtId="167" fontId="10" fillId="4" borderId="0" applyAlignment="1" pivotButton="0" quotePrefix="0" xfId="0">
      <alignment horizontal="general" vertical="bottom"/>
    </xf>
    <xf numFmtId="3" fontId="11" fillId="0" borderId="0" applyAlignment="1" pivotButton="0" quotePrefix="0" xfId="0">
      <alignment horizontal="general" vertical="bottom"/>
    </xf>
    <xf numFmtId="168" fontId="9" fillId="3" borderId="0" applyAlignment="1" pivotButton="0" quotePrefix="0" xfId="0">
      <alignment horizontal="general" vertical="bottom"/>
    </xf>
    <xf numFmtId="169" fontId="10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1" fillId="5" borderId="0" applyAlignment="1" pivotButton="0" quotePrefix="0" xfId="0">
      <alignment horizontal="general" vertical="bottom"/>
    </xf>
    <xf numFmtId="3" fontId="10" fillId="4" borderId="0" applyAlignment="1" pivotButton="0" quotePrefix="0" xfId="0">
      <alignment horizontal="general" vertical="bottom"/>
    </xf>
    <xf numFmtId="169" fontId="10" fillId="4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4" fontId="12" fillId="5" borderId="0" applyAlignment="1" pivotButton="0" quotePrefix="0" xfId="0">
      <alignment horizontal="general" vertical="bottom"/>
    </xf>
    <xf numFmtId="0" fontId="12" fillId="6" borderId="1" applyAlignment="1" pivotButton="0" quotePrefix="0" xfId="0">
      <alignment horizontal="left" vertical="bottom"/>
    </xf>
    <xf numFmtId="0" fontId="12" fillId="6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general" vertical="bottom"/>
    </xf>
    <xf numFmtId="3" fontId="10" fillId="4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169" fontId="10" fillId="4" borderId="1" applyAlignment="1" pivotButton="0" quotePrefix="0" xfId="0">
      <alignment horizontal="general" vertical="bottom"/>
    </xf>
    <xf numFmtId="169" fontId="11" fillId="0" borderId="1" applyAlignment="1" pivotButton="0" quotePrefix="0" xfId="0">
      <alignment horizontal="general" vertical="bottom"/>
    </xf>
    <xf numFmtId="0" fontId="13" fillId="6" borderId="1" applyAlignment="1" pivotButton="0" quotePrefix="0" xfId="0">
      <alignment horizontal="general" vertical="bottom"/>
    </xf>
    <xf numFmtId="3" fontId="13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169" fontId="13" fillId="6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general" vertical="bottom"/>
    </xf>
    <xf numFmtId="169" fontId="11" fillId="0" borderId="0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general" vertical="bottom"/>
    </xf>
    <xf numFmtId="169" fontId="12" fillId="5" borderId="0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9" fontId="12" fillId="6" borderId="1" applyAlignment="1" pivotButton="0" quotePrefix="0" xfId="0">
      <alignment horizontal="right" vertical="bottom"/>
    </xf>
    <xf numFmtId="169" fontId="11" fillId="6" borderId="1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right" vertical="bottom"/>
    </xf>
    <xf numFmtId="0" fontId="7" fillId="7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general" vertical="bottom"/>
    </xf>
    <xf numFmtId="164" fontId="15" fillId="8" borderId="0" applyAlignment="1" pivotButton="0" quotePrefix="0" xfId="0">
      <alignment horizontal="general" vertical="bottom"/>
    </xf>
    <xf numFmtId="0" fontId="6" fillId="8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general" vertical="bottom"/>
    </xf>
    <xf numFmtId="165" fontId="15" fillId="8" borderId="0" applyAlignment="1" pivotButton="0" quotePrefix="0" xfId="0">
      <alignment horizontal="general" vertical="bottom"/>
    </xf>
    <xf numFmtId="169" fontId="15" fillId="8" borderId="0" applyAlignment="1" pivotButton="0" quotePrefix="0" xfId="0">
      <alignment horizontal="general" vertical="bottom"/>
    </xf>
    <xf numFmtId="0" fontId="16" fillId="8" borderId="0" applyAlignment="1" pivotButton="0" quotePrefix="0" xfId="0">
      <alignment horizontal="general" vertical="bottom"/>
    </xf>
    <xf numFmtId="3" fontId="15" fillId="8" borderId="0" applyAlignment="1" pivotButton="0" quotePrefix="0" xfId="0">
      <alignment horizontal="general" vertical="bottom"/>
    </xf>
    <xf numFmtId="170" fontId="15" fillId="8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D6EBDD"/>
        </patternFill>
      </fill>
    </dxf>
    <dxf>
      <fill>
        <patternFill>
          <bgColor rgb="FFF6E0D9"/>
        </patternFill>
      </fill>
    </dxf>
    <dxf>
      <fill>
        <patternFill>
          <bgColor rgb="FFF6D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E3C"/>
      <rgbColor rgb="FF000080"/>
      <rgbColor rgb="FF808000"/>
      <rgbColor rgb="FF800080"/>
      <rgbColor rgb="FF008080"/>
      <rgbColor rgb="FFF6E0D9"/>
      <rgbColor rgb="FF6B7680"/>
      <rgbColor rgb="FF9999FF"/>
      <rgbColor rgb="FF5A3AA8"/>
      <rgbColor rgb="FFFFF3C4"/>
      <rgbColor rgb="FFE4F0E7"/>
      <rgbColor rgb="FF660066"/>
      <rgbColor rgb="FFFF8080"/>
      <rgbColor rgb="FF0066CC"/>
      <rgbColor rgb="FFD8DC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D6EBDD"/>
      <rgbColor rgb="FFF0F1EC"/>
      <rgbColor rgb="FFEFEAFB"/>
      <rgbColor rgb="FFFF99CC"/>
      <rgbColor rgb="FFCC99FF"/>
      <rgbColor rgb="FFF6D5CD"/>
      <rgbColor rgb="FF3366FF"/>
      <rgbColor rgb="FF33CCCC"/>
      <rgbColor rgb="FF99CC00"/>
      <rgbColor rgb="FFFFCC00"/>
      <rgbColor rgb="FFFF9900"/>
      <rgbColor rgb="FFFF6600"/>
      <rgbColor rgb="FF5A6570"/>
      <rgbColor rgb="FF8A72C0"/>
      <rgbColor rgb="FF003366"/>
      <rgbColor rgb="FF339966"/>
      <rgbColor rgb="FF003300"/>
      <rgbColor rgb="FF333300"/>
      <rgbColor rgb="FF993300"/>
      <rgbColor rgb="FF993366"/>
      <rgbColor rgb="FF3A2A66"/>
      <rgbColor rgb="FF1F2A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C6" authorId="0" shapeId="0">
      <text>
        <t>Samengevoegde ontwikkelkavel Layers Hoofddorp II XL (De Hoek, Kruisweg/Rijnlanderweg). 5 percelen (AK 2907/2923/2924/2925/2926) = samen 7.150 m² (0,715 ha), ALLE op exact hetzelfde tijdstip geregistreerd (4-11-2024 10:38:10, grensvaststelling opgeschort) → één herverkavelingsactie. Geverifieerd via Kadastrale Kaart PDOK. Vrijgemaakt terrein, geen BAG-pand. Formele eigendoms-assemblage = Kadaster BRK (Fase 3). Dit is de volledige acquisitie; de XL-fase (6 units) beslaat hiervan een deel → de Engine toont de headroom.</t>
      </text>
    </comment>
    <comment ref="C10" authorId="0" shapeId="0">
      <text>
        <t>Vrije hoogte gerealiseerd = 3,4 m; 5,0 m/laag incl. constructie voor de capaciteitsberekening.</t>
      </text>
    </comment>
    <comment ref="C12" authorId="0" shapeId="0">
      <text>
        <t>Gerealiseerd 63 pp op 4.566 m² BVO ≈ 1,38 per 100 m² BVO (uit de prijslijst: 5×10 + 1×13).</t>
      </text>
    </comment>
    <comment ref="C14" authorId="0" shapeId="0">
      <text>
        <t>Indicatieve grondwaarde (Today's echte inkoop niet publiek); speel hiermee. De echte max = residual (blok 8).</t>
      </text>
    </comment>
    <comment ref="C17" authorId="0" shapeId="0">
      <text>
        <t>XL-units worden verkocht op BVO (de koopsom in de prijslijst geldt de BVO). Daarom VVO = BVO voor dit product → efficiency 100%.</t>
      </text>
    </comment>
    <comment ref="C18" authorId="0" shapeId="0">
      <text>
        <t>As-built = 2-laags (begane grond + 1e verdieping, prijslijst). Speel met dit getal om alternatieven te verkennen.</t>
      </text>
    </comment>
    <comment ref="C19" authorId="0" shapeId="0">
      <text>
        <t>Casco+ 2-laags bedrijfsunits, INDICATIEF — dit is de gevoeligste aanname (bepaalt de marge). Verfijnen met Today's echte bouwbegroting.</t>
      </text>
    </comment>
    <comment ref="C24" authorId="0" shapeId="0">
      <text>
        <t>IC wil minimaal dit rendement op GDV.</t>
      </text>
    </comment>
    <comment ref="C30" authorId="0" shapeId="0">
      <text>
        <t>Het ruimtelijke plafond. Meer VVO past fysiek niet — tenzij je meer lagen kiest (blok 2).</t>
      </text>
    </comment>
    <comment ref="C43" authorId="0" shapeId="0">
      <text>
        <t>Onder deze VVO haal je de target-marge niet.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H10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.2" customWidth="1" style="59" min="1" max="1"/>
    <col width="30" customWidth="1" style="59" min="2" max="2"/>
    <col width="14" customWidth="1" style="59" min="3" max="3"/>
    <col width="13" customWidth="1" style="59" min="4" max="4"/>
    <col width="14" customWidth="1" style="59" min="5" max="5"/>
    <col width="13" customWidth="1" style="59" min="6" max="6"/>
    <col width="16" customWidth="1" style="59" min="7" max="7"/>
    <col width="12" customWidth="1" style="59" min="8" max="8"/>
  </cols>
  <sheetData>
    <row r="1" ht="24" customHeight="1" s="60">
      <c r="B1" s="61" t="inlineStr">
        <is>
          <t>Layers Development-plan — Hoofddorp II XL  (blanco · in te vullen)</t>
        </is>
      </c>
    </row>
    <row r="2" ht="15" customHeight="1" s="60">
      <c r="B2" s="62" t="inlineStr">
        <is>
          <t>Uit de Acquisitie-Radar: alléén de randvoorwaarden (blok 1) zijn ingevuld. De development director/manager doet hier de eerste calculatie — kies bouwlagen, bouw de unitmix — en de sheet rekent live de marge, het verdict en de targets. Targets onderaan (blok 9) → Development Engine.</t>
        </is>
      </c>
    </row>
    <row r="3" ht="15" customHeight="1" s="60">
      <c r="B3" s="63" t="inlineStr">
        <is>
          <t>Legenda:   ▮ blauw = invoer (speel hiermee)     ▮ zwart = berekend     ▮ geel = kernaanname     ▮ groen = uit Acquisitie-Radar</t>
        </is>
      </c>
    </row>
    <row r="5" ht="19.5" customHeight="1" s="60">
      <c r="B5" s="64" t="inlineStr">
        <is>
          <t>1 · Locatie  (harde parameters — uit Acquisitie-Radar)</t>
        </is>
      </c>
      <c r="C5" s="65" t="n"/>
      <c r="D5" s="65" t="n"/>
      <c r="E5" s="65" t="n"/>
      <c r="F5" s="65" t="n"/>
      <c r="G5" s="65" t="n"/>
      <c r="H5" s="65" t="n"/>
    </row>
    <row r="6" ht="15" customHeight="1" s="60">
      <c r="B6" s="66" t="inlineStr">
        <is>
          <t>Perceeloppervlakte (samengevoegde kavel)</t>
        </is>
      </c>
      <c r="C6" s="67" t="n">
        <v>7150</v>
      </c>
      <c r="D6" s="63" t="inlineStr">
        <is>
          <t>m² · geverifieerd</t>
        </is>
      </c>
    </row>
    <row r="7" ht="15" customHeight="1" s="60">
      <c r="B7" s="66" t="inlineStr">
        <is>
          <t>Bestemming</t>
        </is>
      </c>
      <c r="C7" s="68" t="inlineStr">
        <is>
          <t>Bedrijventerrein</t>
        </is>
      </c>
    </row>
    <row r="8" ht="15" customHeight="1" s="60">
      <c r="B8" s="66" t="inlineStr">
        <is>
          <t>Max. bebouwingspercentage</t>
        </is>
      </c>
      <c r="C8" s="69" t="n">
        <v>0.6</v>
      </c>
      <c r="D8" s="63" t="inlineStr">
        <is>
          <t>van perceel</t>
        </is>
      </c>
    </row>
    <row r="9" ht="15" customHeight="1" s="60">
      <c r="B9" s="66" t="inlineStr">
        <is>
          <t>Max. bouwhoogte</t>
        </is>
      </c>
      <c r="C9" s="70" t="n">
        <v>10</v>
      </c>
      <c r="D9" s="63" t="inlineStr">
        <is>
          <t>m</t>
        </is>
      </c>
    </row>
    <row r="10" ht="15" customHeight="1" s="60">
      <c r="B10" s="66" t="inlineStr">
        <is>
          <t>Verdiepingshoogte (aanname)</t>
        </is>
      </c>
      <c r="C10" s="71" t="n">
        <v>5</v>
      </c>
      <c r="D10" s="63" t="inlineStr">
        <is>
          <t>m/laag</t>
        </is>
      </c>
    </row>
    <row r="11" ht="15" customHeight="1" s="60">
      <c r="B11" s="66" t="inlineStr">
        <is>
          <t>→ Max. bouwlagen (fysiek)</t>
        </is>
      </c>
      <c r="C11" s="72">
        <f>FLOOR(C9/C10,1)</f>
        <v/>
      </c>
      <c r="D11" s="63" t="inlineStr">
        <is>
          <t>lagen</t>
        </is>
      </c>
    </row>
    <row r="12" ht="15" customHeight="1" s="60">
      <c r="B12" s="66" t="inlineStr">
        <is>
          <t>Parkeernorm</t>
        </is>
      </c>
      <c r="C12" s="73" t="n">
        <v>1.38</v>
      </c>
      <c r="D12" s="63" t="inlineStr">
        <is>
          <t>pp/100 m² BVO</t>
        </is>
      </c>
    </row>
    <row r="13" ht="15" customHeight="1" s="60">
      <c r="B13" s="66" t="inlineStr">
        <is>
          <t>Milieucategorie</t>
        </is>
      </c>
      <c r="C13" s="68" t="inlineStr">
        <is>
          <t>t/m 3.1</t>
        </is>
      </c>
    </row>
    <row r="14" ht="15" customHeight="1" s="60">
      <c r="B14" s="66" t="inlineStr">
        <is>
          <t>Richtprijs grond (indicatief)</t>
        </is>
      </c>
      <c r="C14" s="74" t="n">
        <v>600000</v>
      </c>
      <c r="D14" s="63" t="inlineStr">
        <is>
          <t>indicatief</t>
        </is>
      </c>
    </row>
    <row r="16" ht="19.5" customHeight="1" s="60">
      <c r="B16" s="64" t="inlineStr">
        <is>
          <t>2 · Markt &amp; product  (aannames development director)</t>
        </is>
      </c>
      <c r="C16" s="65" t="n"/>
      <c r="D16" s="65" t="n"/>
      <c r="E16" s="65" t="n"/>
      <c r="F16" s="65" t="n"/>
      <c r="G16" s="65" t="n"/>
      <c r="H16" s="65" t="n"/>
    </row>
    <row r="17" ht="15" customHeight="1" s="60">
      <c r="B17" s="75" t="inlineStr">
        <is>
          <t>VVO / BVO efficiency</t>
        </is>
      </c>
      <c r="C17" s="76" t="n">
        <v>1</v>
      </c>
      <c r="D17" s="63" t="inlineStr">
        <is>
          <t>kernaanname</t>
        </is>
      </c>
    </row>
    <row r="18" ht="15" customHeight="1" s="60">
      <c r="B18" s="66" t="inlineStr">
        <is>
          <t>Gekozen bouwlagen</t>
        </is>
      </c>
      <c r="C18" s="77" t="n">
        <v>2</v>
      </c>
      <c r="D18" s="63" t="inlineStr">
        <is>
          <t>≤ max lagen</t>
        </is>
      </c>
    </row>
    <row r="19" ht="15" customHeight="1" s="60">
      <c r="B19" s="66" t="inlineStr">
        <is>
          <t>Bouwkosten</t>
        </is>
      </c>
      <c r="C19" s="78" t="n">
        <v>1000</v>
      </c>
      <c r="D19" s="63" t="inlineStr">
        <is>
          <t>€/m² BVO · casco+</t>
        </is>
      </c>
    </row>
    <row r="20" ht="15" customHeight="1" s="60">
      <c r="B20" s="66" t="inlineStr">
        <is>
          <t>Adviseurs / plankosten</t>
        </is>
      </c>
      <c r="C20" s="79" t="n">
        <v>0.08</v>
      </c>
      <c r="D20" s="63" t="inlineStr">
        <is>
          <t>% v. bouw</t>
        </is>
      </c>
    </row>
    <row r="21" ht="15" customHeight="1" s="60">
      <c r="B21" s="66" t="inlineStr">
        <is>
          <t>Marketing &amp; verkoop</t>
        </is>
      </c>
      <c r="C21" s="79" t="n">
        <v>0.025</v>
      </c>
      <c r="D21" s="63" t="inlineStr">
        <is>
          <t>% v. GDV</t>
        </is>
      </c>
    </row>
    <row r="22" ht="15" customHeight="1" s="60">
      <c r="B22" s="66" t="inlineStr">
        <is>
          <t>Financiering</t>
        </is>
      </c>
      <c r="C22" s="79" t="n">
        <v>0.045</v>
      </c>
      <c r="D22" s="63" t="inlineStr">
        <is>
          <t>% v. (bouw+adv)</t>
        </is>
      </c>
    </row>
    <row r="23" ht="15" customHeight="1" s="60">
      <c r="B23" s="66" t="inlineStr">
        <is>
          <t>Onvoorzien</t>
        </is>
      </c>
      <c r="C23" s="79" t="n">
        <v>0.05</v>
      </c>
      <c r="D23" s="63" t="inlineStr">
        <is>
          <t>% v. bouw</t>
        </is>
      </c>
    </row>
    <row r="24" ht="15" customHeight="1" s="60">
      <c r="B24" s="75" t="inlineStr">
        <is>
          <t>Target ontwikkelmarge (IC-drempel)</t>
        </is>
      </c>
      <c r="C24" s="76" t="n">
        <v>0.15</v>
      </c>
      <c r="D24" s="63" t="inlineStr">
        <is>
          <t>op GDV</t>
        </is>
      </c>
    </row>
    <row r="25" ht="15" customHeight="1" s="60">
      <c r="B25" s="66" t="inlineStr">
        <is>
          <t>Absorptie / voorverkoop</t>
        </is>
      </c>
      <c r="C25" s="63" t="inlineStr">
        <is>
          <t>5–8 units/mnd · ≥50% voorverkoop</t>
        </is>
      </c>
    </row>
    <row r="27" ht="19.5" customHeight="1" s="60">
      <c r="B27" s="64" t="inlineStr">
        <is>
          <t>3 · Ruimtelijke capaciteit  (de envelop — dit begrenst het programma)</t>
        </is>
      </c>
      <c r="C27" s="65" t="n"/>
      <c r="D27" s="65" t="n"/>
      <c r="E27" s="65" t="n"/>
      <c r="F27" s="65" t="n"/>
      <c r="G27" s="65" t="n"/>
      <c r="H27" s="65" t="n"/>
    </row>
    <row r="28" ht="15" customHeight="1" s="60">
      <c r="B28" s="66" t="inlineStr">
        <is>
          <t>Max. footprint (perceel × beb%)</t>
        </is>
      </c>
      <c r="C28" s="80">
        <f>C6*C8</f>
        <v/>
      </c>
      <c r="D28" s="63" t="inlineStr">
        <is>
          <t>m²</t>
        </is>
      </c>
    </row>
    <row r="29" ht="15" customHeight="1" s="60">
      <c r="B29" s="66" t="inlineStr">
        <is>
          <t>Max. BVO (× gekozen lagen)</t>
        </is>
      </c>
      <c r="C29" s="80">
        <f>C28*C18</f>
        <v/>
      </c>
      <c r="D29" s="63" t="inlineStr">
        <is>
          <t>m²</t>
        </is>
      </c>
    </row>
    <row r="30" ht="15" customHeight="1" s="60">
      <c r="B30" s="75" t="inlineStr">
        <is>
          <t>Plafond: max. verkoopbaar VVO (× eff.)</t>
        </is>
      </c>
      <c r="C30" s="81">
        <f>C29*C17</f>
        <v/>
      </c>
      <c r="D30" s="63" t="inlineStr">
        <is>
          <t>m²</t>
        </is>
      </c>
    </row>
    <row r="32" ht="19.5" customHeight="1" s="60">
      <c r="B32" s="64" t="inlineStr">
        <is>
          <t>4 · Layers-product — unitmix  (LEEG — vul je eigen aantallen in; m² en V.O.N.-prijzen zijn vaste Layers-productdata)</t>
        </is>
      </c>
      <c r="C32" s="65" t="n"/>
      <c r="D32" s="65" t="n"/>
      <c r="E32" s="65" t="n"/>
      <c r="F32" s="65" t="n"/>
      <c r="G32" s="65" t="n"/>
      <c r="H32" s="65" t="n"/>
    </row>
    <row r="33" ht="15" customHeight="1" s="60">
      <c r="B33" s="82" t="inlineStr">
        <is>
          <t>Unittype</t>
        </is>
      </c>
      <c r="C33" s="83" t="inlineStr">
        <is>
          <t>Aantal</t>
        </is>
      </c>
      <c r="D33" s="83" t="inlineStr">
        <is>
          <t>m²/unit (BVO)</t>
        </is>
      </c>
      <c r="E33" s="83" t="inlineStr">
        <is>
          <t>BVO totaal</t>
        </is>
      </c>
      <c r="F33" s="83" t="inlineStr">
        <is>
          <t>€/m² (V.O.N.)</t>
        </is>
      </c>
      <c r="G33" s="83" t="inlineStr">
        <is>
          <t>Koopsom (GDV)</t>
        </is>
      </c>
    </row>
    <row r="34" ht="15" customHeight="1" s="60">
      <c r="B34" s="84" t="inlineStr">
        <is>
          <t>Layers XL · (A+) · 956 m²</t>
        </is>
      </c>
      <c r="C34" s="85" t="n">
        <v>0</v>
      </c>
      <c r="D34" s="85" t="n">
        <v>956</v>
      </c>
      <c r="E34" s="86">
        <f>C34*D34</f>
        <v/>
      </c>
      <c r="F34" s="87" t="n">
        <v>1391</v>
      </c>
      <c r="G34" s="88">
        <f>E34*F34</f>
        <v/>
      </c>
    </row>
    <row r="35" ht="15" customHeight="1" s="60">
      <c r="B35" s="84" t="inlineStr">
        <is>
          <t>Layers L · (A) · 722 m²</t>
        </is>
      </c>
      <c r="C35" s="85" t="n">
        <v>0</v>
      </c>
      <c r="D35" s="85" t="n">
        <v>722</v>
      </c>
      <c r="E35" s="86">
        <f>C35*D35</f>
        <v/>
      </c>
      <c r="F35" s="87" t="n">
        <v>1699</v>
      </c>
      <c r="G35" s="88">
        <f>E35*F35</f>
        <v/>
      </c>
    </row>
    <row r="36" ht="15" customHeight="1" s="60">
      <c r="B36" s="84" t="inlineStr">
        <is>
          <t>Layers M · (B) · 110 m²</t>
        </is>
      </c>
      <c r="C36" s="85" t="n">
        <v>0</v>
      </c>
      <c r="D36" s="85" t="n">
        <v>110</v>
      </c>
      <c r="E36" s="86">
        <f>C36*D36</f>
        <v/>
      </c>
      <c r="F36" s="87" t="n">
        <v>2100</v>
      </c>
      <c r="G36" s="88">
        <f>E36*F36</f>
        <v/>
      </c>
    </row>
    <row r="37" ht="15" customHeight="1" s="60">
      <c r="B37" s="84" t="inlineStr">
        <is>
          <t>Layers S · (C) · 66 m²</t>
        </is>
      </c>
      <c r="C37" s="85" t="n">
        <v>0</v>
      </c>
      <c r="D37" s="85" t="n">
        <v>66</v>
      </c>
      <c r="E37" s="86">
        <f>C37*D37</f>
        <v/>
      </c>
      <c r="F37" s="87" t="n">
        <v>2273</v>
      </c>
      <c r="G37" s="88">
        <f>E37*F37</f>
        <v/>
      </c>
    </row>
    <row r="38" ht="15" customHeight="1" s="60">
      <c r="B38" s="89" t="inlineStr">
        <is>
          <t>Totaal / gemiddeld</t>
        </is>
      </c>
      <c r="C38" s="90">
        <f>SUM(C34:C37)</f>
        <v/>
      </c>
      <c r="D38" s="91" t="n"/>
      <c r="E38" s="90">
        <f>SUM(E34:E37)</f>
        <v/>
      </c>
      <c r="F38" s="92">
        <f>IFERROR(G38/E38,"")</f>
        <v/>
      </c>
      <c r="G38" s="92">
        <f>SUM(G34:G37)</f>
        <v/>
      </c>
    </row>
    <row r="39" ht="15" customHeight="1" s="60">
      <c r="B39" s="93" t="inlineStr">
        <is>
          <t>Check — past deze mix binnen de grenzen?</t>
        </is>
      </c>
    </row>
    <row r="40" ht="15" customHeight="1" s="60">
      <c r="B40" s="66" t="inlineStr">
        <is>
          <t>Plafond: ruimtelijk mogelijk VVO</t>
        </is>
      </c>
      <c r="C40" s="80">
        <f>C30</f>
        <v/>
      </c>
      <c r="D40" s="63" t="inlineStr">
        <is>
          <t>m² (perceel×beb%×lagen×eff)</t>
        </is>
      </c>
    </row>
    <row r="41" ht="15" customHeight="1" s="60">
      <c r="B41" s="75" t="inlineStr">
        <is>
          <t>Benutting (gebruikt / plafond)</t>
        </is>
      </c>
      <c r="C41" s="94">
        <f>E38/C30</f>
        <v/>
      </c>
      <c r="D41" s="63" t="inlineStr">
        <is>
          <t>↑ &gt;100% = past ruimtelijk niet</t>
        </is>
      </c>
    </row>
    <row r="42" ht="15" customHeight="1" s="60">
      <c r="B42" s="66" t="inlineStr">
        <is>
          <t>Restcapaciteit</t>
        </is>
      </c>
      <c r="C42" s="80">
        <f>C30-E38</f>
        <v/>
      </c>
      <c r="D42" s="63" t="inlineStr">
        <is>
          <t>m²</t>
        </is>
      </c>
    </row>
    <row r="43" ht="15" customHeight="1" s="60">
      <c r="B43" s="66" t="inlineStr">
        <is>
          <t>Economische ondergrens VVO (grond + target)</t>
        </is>
      </c>
      <c r="C43" s="80">
        <f>IFERROR(C14/(F38*(1-C24) - ((C19/C17)*(1+C20+C23) + C22*(C19/C17)*(1+C20) + C21*F38)),"")</f>
        <v/>
      </c>
      <c r="D43" s="63" t="inlineStr">
        <is>
          <t>m² nodig</t>
        </is>
      </c>
    </row>
    <row r="44" ht="15" customHeight="1" s="60">
      <c r="B44" s="75" t="inlineStr">
        <is>
          <t>→ Verdict</t>
        </is>
      </c>
      <c r="C44" s="75">
        <f>IF(C38=0,"— vul de unitmix in om te toetsen —",IF(E38&gt;C30,"PAST RUIMTELIJK NIET ✗",IF(E38&lt;C43,"ONDER economische ondergrens ✗","GOEDE MIX ✓ — binnen envelop én boven ondergrens")))</f>
        <v/>
      </c>
    </row>
    <row r="46" ht="19.5" customHeight="1" s="60">
      <c r="B46" s="64" t="inlineStr">
        <is>
          <t>5 · Programma &amp; ruimtelijke test-fit</t>
        </is>
      </c>
      <c r="C46" s="65" t="n"/>
      <c r="D46" s="65" t="n"/>
      <c r="E46" s="65" t="n"/>
      <c r="F46" s="65" t="n"/>
      <c r="G46" s="65" t="n"/>
      <c r="H46" s="65" t="n"/>
    </row>
    <row r="47" ht="15" customHeight="1" s="60">
      <c r="B47" s="66" t="inlineStr">
        <is>
          <t>Target VVO</t>
        </is>
      </c>
      <c r="C47" s="80">
        <f>E38</f>
        <v/>
      </c>
      <c r="D47" s="63" t="inlineStr">
        <is>
          <t>m²</t>
        </is>
      </c>
    </row>
    <row r="48" ht="15" customHeight="1" s="60">
      <c r="B48" s="75" t="inlineStr">
        <is>
          <t>Target BVO (= VVO / efficiency)</t>
        </is>
      </c>
      <c r="C48" s="95">
        <f>E38/C17</f>
        <v/>
      </c>
      <c r="D48" s="63" t="inlineStr">
        <is>
          <t>m²</t>
        </is>
      </c>
    </row>
    <row r="49" ht="15" customHeight="1" s="60">
      <c r="B49" s="66" t="inlineStr">
        <is>
          <t>Benodigde footprint (bij gekozen lagen)</t>
        </is>
      </c>
      <c r="C49" s="80">
        <f>C48/C18</f>
        <v/>
      </c>
      <c r="D49" s="63" t="inlineStr">
        <is>
          <t>m²</t>
        </is>
      </c>
    </row>
    <row r="50" ht="15" customHeight="1" s="60">
      <c r="B50" s="66" t="inlineStr">
        <is>
          <t>Max. footprint (perceel × beb%)</t>
        </is>
      </c>
      <c r="C50" s="80">
        <f>C28</f>
        <v/>
      </c>
      <c r="D50" s="63" t="inlineStr">
        <is>
          <t>m²</t>
        </is>
      </c>
    </row>
    <row r="51" ht="15" customHeight="1" s="60">
      <c r="B51" s="66" t="inlineStr">
        <is>
          <t>Bebouwing gerealiseerd</t>
        </is>
      </c>
      <c r="C51" s="96">
        <f>C49/C6</f>
        <v/>
      </c>
      <c r="D51" s="63" t="inlineStr">
        <is>
          <t>van perceel</t>
        </is>
      </c>
    </row>
    <row r="52" ht="15" customHeight="1" s="60">
      <c r="B52" s="66" t="inlineStr">
        <is>
          <t>Bouwhoogte</t>
        </is>
      </c>
      <c r="C52" s="97">
        <f>C18*C10</f>
        <v/>
      </c>
      <c r="D52" s="63" t="inlineStr">
        <is>
          <t>m</t>
        </is>
      </c>
    </row>
    <row r="53" ht="15" customHeight="1" s="60">
      <c r="B53" s="75" t="inlineStr">
        <is>
          <t>→ Past het programma?</t>
        </is>
      </c>
      <c r="C53" s="75">
        <f>IF(C49&lt;=C28,"PAST ✓","PAST NIET ✗ — meer lagen of minder BVO")</f>
        <v/>
      </c>
    </row>
    <row r="54" ht="15" customHeight="1" s="60">
      <c r="B54" s="66" t="inlineStr">
        <is>
          <t>Parkeerbehoefte</t>
        </is>
      </c>
      <c r="C54" s="98">
        <f>C48/100*C12</f>
        <v/>
      </c>
      <c r="D54" s="63" t="inlineStr">
        <is>
          <t>pp</t>
        </is>
      </c>
    </row>
    <row r="56" ht="19.5" customHeight="1" s="60">
      <c r="B56" s="64" t="inlineStr">
        <is>
          <t>6 · Ontwikkelkosten</t>
        </is>
      </c>
      <c r="C56" s="65" t="n"/>
      <c r="D56" s="65" t="n"/>
      <c r="E56" s="65" t="n"/>
      <c r="F56" s="65" t="n"/>
      <c r="G56" s="65" t="n"/>
      <c r="H56" s="65" t="n"/>
    </row>
    <row r="57" ht="15" customHeight="1" s="60">
      <c r="B57" s="66" t="inlineStr">
        <is>
          <t>Grondkosten</t>
        </is>
      </c>
      <c r="C57" s="99">
        <f>C14</f>
        <v/>
      </c>
    </row>
    <row r="58" ht="15" customHeight="1" s="60">
      <c r="B58" s="66" t="inlineStr">
        <is>
          <t>Bouwkosten (BVO × €/m²)</t>
        </is>
      </c>
      <c r="C58" s="99">
        <f>C48*C19</f>
        <v/>
      </c>
    </row>
    <row r="59" ht="15" customHeight="1" s="60">
      <c r="B59" s="66" t="inlineStr">
        <is>
          <t>Adviseurs / plankosten</t>
        </is>
      </c>
      <c r="C59" s="99">
        <f>C58*C20</f>
        <v/>
      </c>
    </row>
    <row r="60" ht="15" customHeight="1" s="60">
      <c r="B60" s="66" t="inlineStr">
        <is>
          <t>Marketing &amp; verkoop</t>
        </is>
      </c>
      <c r="C60" s="99">
        <f>G38*C21</f>
        <v/>
      </c>
    </row>
    <row r="61" ht="15" customHeight="1" s="60">
      <c r="B61" s="66" t="inlineStr">
        <is>
          <t>Financiering</t>
        </is>
      </c>
      <c r="C61" s="99">
        <f>(C58+C59)*C22</f>
        <v/>
      </c>
    </row>
    <row r="62" ht="15" customHeight="1" s="60">
      <c r="B62" s="66" t="inlineStr">
        <is>
          <t>Onvoorzien</t>
        </is>
      </c>
      <c r="C62" s="99">
        <f>C58*C23</f>
        <v/>
      </c>
    </row>
    <row r="63" ht="15" customHeight="1" s="60">
      <c r="B63" s="75" t="inlineStr">
        <is>
          <t>Totale ontwikkelkosten</t>
        </is>
      </c>
      <c r="C63" s="100">
        <f>C57+C58+C59+C60+C61+C62</f>
        <v/>
      </c>
    </row>
    <row r="65" ht="19.5" customHeight="1" s="60">
      <c r="B65" s="64" t="inlineStr">
        <is>
          <t>7 · Returns</t>
        </is>
      </c>
      <c r="C65" s="65" t="n"/>
      <c r="D65" s="65" t="n"/>
      <c r="E65" s="65" t="n"/>
      <c r="F65" s="65" t="n"/>
      <c r="G65" s="65" t="n"/>
      <c r="H65" s="65" t="n"/>
    </row>
    <row r="66" ht="15" customHeight="1" s="60">
      <c r="B66" s="66" t="inlineStr">
        <is>
          <t>GDV (Gross Development Value)</t>
        </is>
      </c>
      <c r="C66" s="99">
        <f>G38</f>
        <v/>
      </c>
    </row>
    <row r="67" ht="15" customHeight="1" s="60">
      <c r="B67" s="66" t="inlineStr">
        <is>
          <t>Totale kosten</t>
        </is>
      </c>
      <c r="C67" s="99">
        <f>C63</f>
        <v/>
      </c>
    </row>
    <row r="68" ht="15" customHeight="1" s="60">
      <c r="B68" s="75" t="inlineStr">
        <is>
          <t>Ontwikkelresultaat</t>
        </is>
      </c>
      <c r="C68" s="100">
        <f>G38-C63</f>
        <v/>
      </c>
    </row>
    <row r="69" ht="15" customHeight="1" s="60">
      <c r="B69" s="75" t="inlineStr">
        <is>
          <t>Ontwikkelmarge op GDV</t>
        </is>
      </c>
      <c r="C69" s="94">
        <f>IFERROR(C68/G38,"")</f>
        <v/>
      </c>
    </row>
    <row r="70" ht="15" customHeight="1" s="60">
      <c r="B70" s="66" t="inlineStr">
        <is>
          <t>Ontwikkelmarge op kosten</t>
        </is>
      </c>
      <c r="C70" s="96">
        <f>C68/C63</f>
        <v/>
      </c>
    </row>
    <row r="71" ht="15" customHeight="1" s="60">
      <c r="B71" s="66" t="inlineStr">
        <is>
          <t>Winst per m² VVO</t>
        </is>
      </c>
      <c r="C71" s="99">
        <f>IFERROR(C68/E38,"")</f>
        <v/>
      </c>
      <c r="D71" s="63" t="inlineStr">
        <is>
          <t>€/m² VVO</t>
        </is>
      </c>
    </row>
    <row r="72" ht="15" customHeight="1" s="60">
      <c r="B72" s="75" t="inlineStr">
        <is>
          <t>→ Oordeel t.o.v. IC-drempel</t>
        </is>
      </c>
      <c r="C72" s="75">
        <f>IF(C38=0,"—",IF(C69&gt;=C24,"GO ✓ — marge haalt de target","ONDER TARGET — optimaliseren"))</f>
        <v/>
      </c>
    </row>
    <row r="74" ht="19.5" customHeight="1" s="60">
      <c r="B74" s="64" t="inlineStr">
        <is>
          <t>8 · Residual land value  (wat mag de grond kosten?)</t>
        </is>
      </c>
      <c r="C74" s="65" t="n"/>
      <c r="D74" s="65" t="n"/>
      <c r="E74" s="65" t="n"/>
      <c r="F74" s="65" t="n"/>
      <c r="G74" s="65" t="n"/>
      <c r="H74" s="65" t="n"/>
    </row>
    <row r="75" ht="15" customHeight="1" s="60">
      <c r="B75" s="66" t="inlineStr">
        <is>
          <t>Kosten exclusief grond</t>
        </is>
      </c>
      <c r="C75" s="99">
        <f>C63-C57</f>
        <v/>
      </c>
    </row>
    <row r="76" ht="15" customHeight="1" s="60">
      <c r="B76" s="75" t="inlineStr">
        <is>
          <t>Max. grondwaarde bij target-marge</t>
        </is>
      </c>
      <c r="C76" s="101">
        <f>G38-C75-C24*G38</f>
        <v/>
      </c>
    </row>
    <row r="77" ht="15" customHeight="1" s="60">
      <c r="B77" s="66" t="inlineStr">
        <is>
          <t>Richtprijs grond (radar)</t>
        </is>
      </c>
      <c r="C77" s="99">
        <f>C14</f>
        <v/>
      </c>
    </row>
    <row r="78" ht="15" customHeight="1" s="60">
      <c r="B78" s="75" t="inlineStr">
        <is>
          <t>→ Ruimte t.o.v. richtprijs</t>
        </is>
      </c>
      <c r="C78" s="100">
        <f>C76-C14</f>
        <v/>
      </c>
      <c r="E78" s="63" t="inlineStr">
        <is>
          <t>positief = grond mag méér kosten</t>
        </is>
      </c>
    </row>
    <row r="80" ht="19.5" customHeight="1" s="60">
      <c r="B80" s="64" t="inlineStr">
        <is>
          <t>9 · Sensitivity — marge op GDV  (grondprijs × verkoopprijs-index)</t>
        </is>
      </c>
      <c r="C80" s="65" t="n"/>
      <c r="D80" s="65" t="n"/>
      <c r="E80" s="65" t="n"/>
      <c r="F80" s="65" t="n"/>
      <c r="G80" s="65" t="n"/>
      <c r="H80" s="65" t="n"/>
    </row>
    <row r="81" ht="15" customHeight="1" s="60">
      <c r="B81" s="102" t="inlineStr">
        <is>
          <t>Grond ↓ / prijs →</t>
        </is>
      </c>
      <c r="C81" s="103" t="n">
        <v>0.95</v>
      </c>
      <c r="D81" s="103" t="n">
        <v>1</v>
      </c>
      <c r="E81" s="103" t="n">
        <v>1.05</v>
      </c>
      <c r="F81" s="103" t="n">
        <v>1.1</v>
      </c>
    </row>
    <row r="82" ht="15" customHeight="1" s="60">
      <c r="B82" s="104" t="n">
        <v>3000000</v>
      </c>
      <c r="C82" s="105">
        <f>IFERROR(((G38*C81) - (B82+C58+C59+C61+C62+G38*C81*C21))/(G38*C81),"")</f>
        <v/>
      </c>
      <c r="D82" s="105">
        <f>IFERROR(((G38*D81) - (B82+C58+C59+C61+C62+G38*D81*C21))/(G38*D81),"")</f>
        <v/>
      </c>
      <c r="E82" s="105">
        <f>IFERROR(((G38*E81) - (B82+C58+C59+C61+C62+G38*E81*C21))/(G38*E81),"")</f>
        <v/>
      </c>
      <c r="F82" s="105">
        <f>IFERROR(((G38*F81) - (B82+C58+C59+C61+C62+G38*F81*C21))/(G38*F81),"")</f>
        <v/>
      </c>
    </row>
    <row r="83" ht="15" customHeight="1" s="60">
      <c r="B83" s="104" t="n">
        <v>3500000</v>
      </c>
      <c r="C83" s="105">
        <f>IFERROR(((G38*C81) - (B83+C58+C59+C61+C62+G38*C81*C21))/(G38*C81),"")</f>
        <v/>
      </c>
      <c r="D83" s="105">
        <f>IFERROR(((G38*D81) - (B83+C58+C59+C61+C62+G38*D81*C21))/(G38*D81),"")</f>
        <v/>
      </c>
      <c r="E83" s="105">
        <f>IFERROR(((G38*E81) - (B83+C58+C59+C61+C62+G38*E81*C21))/(G38*E81),"")</f>
        <v/>
      </c>
      <c r="F83" s="105">
        <f>IFERROR(((G38*F81) - (B83+C58+C59+C61+C62+G38*F81*C21))/(G38*F81),"")</f>
        <v/>
      </c>
    </row>
    <row r="84" ht="15" customHeight="1" s="60">
      <c r="B84" s="104" t="n">
        <v>4000000</v>
      </c>
      <c r="C84" s="105">
        <f>IFERROR(((G38*C81) - (B84+C58+C59+C61+C62+G38*C81*C21))/(G38*C81),"")</f>
        <v/>
      </c>
      <c r="D84" s="105">
        <f>IFERROR(((G38*D81) - (B84+C58+C59+C61+C62+G38*D81*C21))/(G38*D81),"")</f>
        <v/>
      </c>
      <c r="E84" s="105">
        <f>IFERROR(((G38*E81) - (B84+C58+C59+C61+C62+G38*E81*C21))/(G38*E81),"")</f>
        <v/>
      </c>
      <c r="F84" s="105">
        <f>IFERROR(((G38*F81) - (B84+C58+C59+C61+C62+G38*F81*C21))/(G38*F81),"")</f>
        <v/>
      </c>
    </row>
    <row r="85" ht="15" customHeight="1" s="60">
      <c r="B85" s="104" t="n">
        <v>4500000</v>
      </c>
      <c r="C85" s="105">
        <f>IFERROR(((G38*C81) - (B85+C58+C59+C61+C62+G38*C81*C21))/(G38*C81),"")</f>
        <v/>
      </c>
      <c r="D85" s="105">
        <f>IFERROR(((G38*D81) - (B85+C58+C59+C61+C62+G38*D81*C21))/(G38*D81),"")</f>
        <v/>
      </c>
      <c r="E85" s="105">
        <f>IFERROR(((G38*E81) - (B85+C58+C59+C61+C62+G38*E81*C21))/(G38*E81),"")</f>
        <v/>
      </c>
      <c r="F85" s="105">
        <f>IFERROR(((G38*F81) - (B85+C58+C59+C61+C62+G38*F81*C21))/(G38*F81),"")</f>
        <v/>
      </c>
    </row>
    <row r="86" ht="15" customHeight="1" s="60">
      <c r="B86" s="104" t="n">
        <v>5000000</v>
      </c>
      <c r="C86" s="105">
        <f>IFERROR(((G38*C81) - (B86+C58+C59+C61+C62+G38*C81*C21))/(G38*C81),"")</f>
        <v/>
      </c>
      <c r="D86" s="105">
        <f>IFERROR(((G38*D81) - (B86+C58+C59+C61+C62+G38*D81*C21))/(G38*D81),"")</f>
        <v/>
      </c>
      <c r="E86" s="105">
        <f>IFERROR(((G38*E81) - (B86+C58+C59+C61+C62+G38*E81*C21))/(G38*E81),"")</f>
        <v/>
      </c>
      <c r="F86" s="105">
        <f>IFERROR(((G38*F81) - (B86+C58+C59+C61+C62+G38*F81*C21))/(G38*F81),"")</f>
        <v/>
      </c>
    </row>
    <row r="87" ht="15" customHeight="1" s="60">
      <c r="B87" s="63" t="inlineStr">
        <is>
          <t>Groen ≥ target-marge (15% op GDV); rood = onder target → optimaliseren of niet kopen.</t>
        </is>
      </c>
    </row>
    <row r="89" ht="19.5" customHeight="1" s="60">
      <c r="B89" s="106" t="inlineStr">
        <is>
          <t>→  Targets naar de Development Engine  (de LAT die het ontwerp moet halen)</t>
        </is>
      </c>
      <c r="C89" s="107" t="n"/>
      <c r="D89" s="107" t="n"/>
      <c r="E89" s="107" t="n"/>
      <c r="F89" s="107" t="n"/>
      <c r="G89" s="107" t="n"/>
      <c r="H89" s="107" t="n"/>
    </row>
    <row r="90" ht="15" customHeight="1" s="60">
      <c r="B90" s="108" t="inlineStr">
        <is>
          <t>Target-band VVO — MINIMAAL (om de case te halen)</t>
        </is>
      </c>
      <c r="C90" s="109">
        <f>C43</f>
        <v/>
      </c>
      <c r="D90" s="110" t="inlineStr">
        <is>
          <t>m² · economische ondergrens</t>
        </is>
      </c>
      <c r="E90" s="111" t="n"/>
      <c r="F90" s="111" t="n"/>
      <c r="G90" s="111" t="n"/>
      <c r="H90" s="111" t="n"/>
    </row>
    <row r="91" ht="15" customHeight="1" s="60">
      <c r="B91" s="108" t="inlineStr">
        <is>
          <t>Target-band VVO — MAXIMAAL (wat ruimtelijk past)</t>
        </is>
      </c>
      <c r="C91" s="109">
        <f>C30</f>
        <v/>
      </c>
      <c r="D91" s="110" t="inlineStr">
        <is>
          <t>m² · plafond</t>
        </is>
      </c>
      <c r="E91" s="111" t="n"/>
      <c r="F91" s="111" t="n"/>
      <c r="G91" s="111" t="n"/>
      <c r="H91" s="111" t="n"/>
    </row>
    <row r="92" ht="15" customHeight="1" s="60">
      <c r="B92" s="112" t="inlineStr">
        <is>
          <t>Target marge (op GDV)</t>
        </is>
      </c>
      <c r="C92" s="113">
        <f>C24</f>
        <v/>
      </c>
      <c r="D92" s="110" t="inlineStr">
        <is>
          <t>de harde eis</t>
        </is>
      </c>
      <c r="E92" s="111" t="n"/>
      <c r="F92" s="111" t="n"/>
      <c r="G92" s="111" t="n"/>
      <c r="H92" s="111" t="n"/>
    </row>
    <row r="93" ht="15" customHeight="1" s="60">
      <c r="B93" s="112" t="inlineStr">
        <is>
          <t>Max. grondprijs (residual)</t>
        </is>
      </c>
      <c r="C93" s="114">
        <f>C76</f>
        <v/>
      </c>
      <c r="D93" s="110" t="inlineStr">
        <is>
          <t>betaalbaarheids-eis</t>
        </is>
      </c>
      <c r="E93" s="111" t="n"/>
      <c r="F93" s="111" t="n"/>
      <c r="G93" s="111" t="n"/>
      <c r="H93" s="111" t="n"/>
    </row>
    <row r="94" ht="15" customHeight="1" s="60">
      <c r="B94" s="115" t="inlineStr">
        <is>
          <t>— illustratieve invulling binnen de band (één mogelijke mix) —</t>
        </is>
      </c>
      <c r="C94" s="111" t="n"/>
      <c r="D94" s="111" t="n"/>
      <c r="E94" s="111" t="n"/>
      <c r="F94" s="111" t="n"/>
      <c r="G94" s="111" t="n"/>
      <c r="H94" s="111" t="n"/>
    </row>
    <row r="95" ht="15" customHeight="1" s="60">
      <c r="B95" s="112" t="inlineStr">
        <is>
          <t>Target BVO</t>
        </is>
      </c>
      <c r="C95" s="109">
        <f>C48</f>
        <v/>
      </c>
      <c r="D95" s="111" t="n"/>
      <c r="E95" s="111" t="n"/>
      <c r="F95" s="111" t="n"/>
      <c r="G95" s="111" t="n"/>
      <c r="H95" s="111" t="n"/>
    </row>
    <row r="96" ht="15" customHeight="1" s="60">
      <c r="B96" s="112" t="inlineStr">
        <is>
          <t>Target VVO</t>
        </is>
      </c>
      <c r="C96" s="109">
        <f>E38</f>
        <v/>
      </c>
      <c r="D96" s="111" t="n"/>
      <c r="E96" s="111" t="n"/>
      <c r="F96" s="111" t="n"/>
      <c r="G96" s="111" t="n"/>
      <c r="H96" s="111" t="n"/>
    </row>
    <row r="97" ht="15" customHeight="1" s="60">
      <c r="B97" s="112" t="inlineStr">
        <is>
          <t>Aantal units</t>
        </is>
      </c>
      <c r="C97" s="116">
        <f>C38</f>
        <v/>
      </c>
      <c r="D97" s="111" t="n"/>
      <c r="E97" s="111" t="n"/>
      <c r="F97" s="111" t="n"/>
      <c r="G97" s="111" t="n"/>
      <c r="H97" s="111" t="n"/>
    </row>
    <row r="98" ht="15" customHeight="1" s="60">
      <c r="B98" s="112" t="inlineStr">
        <is>
          <t>Gem. verkoopwaarde</t>
        </is>
      </c>
      <c r="C98" s="114">
        <f>F38</f>
        <v/>
      </c>
      <c r="D98" s="110" t="inlineStr">
        <is>
          <t>€/m² VVO</t>
        </is>
      </c>
      <c r="E98" s="111" t="n"/>
      <c r="F98" s="111" t="n"/>
      <c r="G98" s="111" t="n"/>
      <c r="H98" s="111" t="n"/>
    </row>
    <row r="99" ht="15" customHeight="1" s="60">
      <c r="B99" s="112" t="inlineStr">
        <is>
          <t>Target GDV</t>
        </is>
      </c>
      <c r="C99" s="114">
        <f>G38</f>
        <v/>
      </c>
      <c r="D99" s="111" t="n"/>
      <c r="E99" s="111" t="n"/>
      <c r="F99" s="111" t="n"/>
      <c r="G99" s="111" t="n"/>
      <c r="H99" s="111" t="n"/>
    </row>
    <row r="100" ht="15" customHeight="1" s="60">
      <c r="B100" s="112" t="inlineStr">
        <is>
          <t>Max. bouwkosten</t>
        </is>
      </c>
      <c r="C100" s="114">
        <f>C58</f>
        <v/>
      </c>
      <c r="D100" s="111" t="n"/>
      <c r="E100" s="111" t="n"/>
      <c r="F100" s="111" t="n"/>
      <c r="G100" s="111" t="n"/>
      <c r="H100" s="111" t="n"/>
    </row>
    <row r="101" ht="15" customHeight="1" s="60">
      <c r="B101" s="112" t="inlineStr">
        <is>
          <t>Parkeerbehoefte</t>
        </is>
      </c>
      <c r="C101" s="117">
        <f>C54</f>
        <v/>
      </c>
      <c r="D101" s="111" t="n"/>
      <c r="E101" s="111" t="n"/>
      <c r="F101" s="111" t="n"/>
      <c r="G101" s="111" t="n"/>
      <c r="H101" s="111" t="n"/>
    </row>
    <row r="102" ht="15" customHeight="1" s="60">
      <c r="B102" s="63" t="inlineStr">
        <is>
          <t>De Engine bewijst of een ontwerp de lat haalt: ≥ minimum · ≤ plafond · marge &amp; residual gehaald. Director finetunet aankoopprijs/mix/lagen live.</t>
        </is>
      </c>
    </row>
  </sheetData>
  <mergeCells count="4">
    <mergeCell ref="B1:H1"/>
    <mergeCell ref="B3:H3"/>
    <mergeCell ref="B2:H2"/>
    <mergeCell ref="B102:H102"/>
  </mergeCells>
  <conditionalFormatting sqref="C82:F86">
    <cfRule type="cellIs" rank="0" priority="2" equalAverage="0" operator="greaterThanOrEqual" aboveAverage="0" dxfId="0" text="" percent="0" bottom="0">
      <formula>$C$24</formula>
    </cfRule>
    <cfRule type="cellIs" rank="0" priority="3" equalAverage="0" operator="lessThan" aboveAverage="0" dxfId="1" text="" percent="0" bottom="0">
      <formula>$C$24</formula>
    </cfRule>
  </conditionalFormatting>
  <conditionalFormatting sqref="C41">
    <cfRule type="cellIs" rank="0" priority="4" equalAverage="0" operator="greaterThan" aboveAverage="0" dxfId="2" text="" percent="0" bottom="0">
      <formula>1</formula>
    </cfRule>
    <cfRule type="cellIs" rank="0" priority="5" equalAverage="0" operator="lessThanOrEqual" aboveAverage="0" dxfId="0" text="" percent="0" bottom="0">
      <formula>1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2026-08-30T17:33:37Z</dcterms:created>
  <dcterms:modified xmlns:dcterms="http://purl.org/dc/terms/" xmlns:xsi="http://www.w3.org/2001/XMLSchema-instance" xsi:type="dcterms:W3CDTF">2026-09-09T12:14:41Z</dcterms:modified>
  <cp:revision>0</cp:revision>
</cp:coreProperties>
</file>